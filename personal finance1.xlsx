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Tadip\AppData\Local\Packages\5319275A.WhatsAppDesktop_cv1g1gvanyjgm\LocalState\sessions\76E1D77444D75D3A2C9E25BBA42DDB415F2ABB99\transfers\2026-03\"/>
    </mc:Choice>
  </mc:AlternateContent>
  <xr:revisionPtr revIDLastSave="0" documentId="13_ncr:1_{E807A65B-86CC-4937-9C76-B5ADF06B14FF}" xr6:coauthVersionLast="47" xr6:coauthVersionMax="47" xr10:uidLastSave="{00000000-0000-0000-0000-000000000000}"/>
  <bookViews>
    <workbookView xWindow="-108" yWindow="-108" windowWidth="23256" windowHeight="12456" activeTab="2" xr2:uid="{D0E726CE-7BB1-4A42-AF27-2C4F02B7E7A8}"/>
  </bookViews>
  <sheets>
    <sheet name="Sheet1" sheetId="3" r:id="rId1"/>
    <sheet name="Sheet2" sheetId="2" r:id="rId2"/>
    <sheet name="Sheet3" sheetId="4" r:id="rId3"/>
  </sheets>
  <definedNames>
    <definedName name="Slicer_Category">#N/A</definedName>
    <definedName name="Slicer_Discription">#N/A</definedName>
    <definedName name="Slicer_Month">#N/A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2" l="1"/>
  <c r="H23" i="2"/>
  <c r="H19" i="2"/>
  <c r="H15" i="2"/>
  <c r="H11" i="2"/>
  <c r="H6" i="2"/>
</calcChain>
</file>

<file path=xl/sharedStrings.xml><?xml version="1.0" encoding="utf-8"?>
<sst xmlns="http://schemas.openxmlformats.org/spreadsheetml/2006/main" count="251" uniqueCount="59">
  <si>
    <t>Date</t>
  </si>
  <si>
    <t>Month</t>
  </si>
  <si>
    <t>Category</t>
  </si>
  <si>
    <t>Discription</t>
  </si>
  <si>
    <t>Actual amount</t>
  </si>
  <si>
    <t>January</t>
  </si>
  <si>
    <t>Rent</t>
  </si>
  <si>
    <t>House Rent</t>
  </si>
  <si>
    <t>Food</t>
  </si>
  <si>
    <t>Groceries</t>
  </si>
  <si>
    <t>Transport</t>
  </si>
  <si>
    <t>Bus&amp;Fuel</t>
  </si>
  <si>
    <t>Total Expences</t>
  </si>
  <si>
    <t>Entertainment</t>
  </si>
  <si>
    <t>Movies</t>
  </si>
  <si>
    <t>Utilities</t>
  </si>
  <si>
    <t>Electricity bill</t>
  </si>
  <si>
    <t>February</t>
  </si>
  <si>
    <t>Total Expences by Category(Food)</t>
  </si>
  <si>
    <t>Water&amp;Power</t>
  </si>
  <si>
    <t>March</t>
  </si>
  <si>
    <t>Average</t>
  </si>
  <si>
    <t>Bus pass</t>
  </si>
  <si>
    <t>Outgoing</t>
  </si>
  <si>
    <t>April</t>
  </si>
  <si>
    <t>Total expences by month</t>
  </si>
  <si>
    <t>Fuel</t>
  </si>
  <si>
    <t>Total expenses by month and category</t>
  </si>
  <si>
    <t>May</t>
  </si>
  <si>
    <t>Shopping</t>
  </si>
  <si>
    <t>June</t>
  </si>
  <si>
    <t>avg expanses by month</t>
  </si>
  <si>
    <t>Trip</t>
  </si>
  <si>
    <t>July</t>
  </si>
  <si>
    <t>August</t>
  </si>
  <si>
    <t>September</t>
  </si>
  <si>
    <t>October</t>
  </si>
  <si>
    <t>Festival Shopping</t>
  </si>
  <si>
    <t>November</t>
  </si>
  <si>
    <t>December</t>
  </si>
  <si>
    <t>Travel</t>
  </si>
  <si>
    <t>Year-End Party</t>
  </si>
  <si>
    <t>Row Labels</t>
  </si>
  <si>
    <t>Grand Total</t>
  </si>
  <si>
    <t>Jan</t>
  </si>
  <si>
    <t>Feb</t>
  </si>
  <si>
    <t>Mar</t>
  </si>
  <si>
    <t>Apr</t>
  </si>
  <si>
    <t>Jun</t>
  </si>
  <si>
    <t>Jul</t>
  </si>
  <si>
    <t>Aug</t>
  </si>
  <si>
    <t>Sep</t>
  </si>
  <si>
    <t>Oct</t>
  </si>
  <si>
    <t>Nov</t>
  </si>
  <si>
    <t>Dec</t>
  </si>
  <si>
    <t>Count of Month</t>
  </si>
  <si>
    <t>Count of Discription</t>
  </si>
  <si>
    <t>Sum of Actual amount</t>
  </si>
  <si>
    <t>Count of categorie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</si>
</sst>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2"/>
      <color theme="1"/>
      <name val="Aptos Narrow"/>
      <family val="2"/>
      <scheme val="minor"/>
    </font>
    <font>
      <sz val="11"/>
      <color theme="4" tint="-0.249977111117893"/>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bottom>
      <diagonal/>
    </border>
  </borders>
  <cellStyleXfs count="1">
    <xf numFmtId="0" fontId="0" fillId="0" borderId="0"/>
  </cellStyleXfs>
  <cellXfs count="15">
    <xf numFmtId="0" fontId="0" fillId="0" borderId="0" xfId="0"/>
    <xf numFmtId="0" fontId="2" fillId="2" borderId="0" xfId="0" applyFont="1" applyFill="1"/>
    <xf numFmtId="0" fontId="1" fillId="2" borderId="0" xfId="0" applyFont="1" applyFill="1"/>
    <xf numFmtId="0" fontId="1" fillId="2" borderId="0" xfId="0" applyFont="1" applyFill="1" applyAlignment="1">
      <alignment vertical="center"/>
    </xf>
    <xf numFmtId="0" fontId="0" fillId="3" borderId="0" xfId="0" applyFill="1"/>
    <xf numFmtId="0" fontId="0" fillId="2" borderId="0" xfId="0" applyFill="1"/>
    <xf numFmtId="0" fontId="3" fillId="4" borderId="0" xfId="0" applyFont="1" applyFill="1"/>
    <xf numFmtId="0" fontId="3" fillId="0" borderId="0" xfId="0" applyFont="1"/>
    <xf numFmtId="0" fontId="3" fillId="0" borderId="1" xfId="0" applyFont="1" applyBorder="1"/>
    <xf numFmtId="14" fontId="3" fillId="4" borderId="0" xfId="0" applyNumberFormat="1" applyFont="1" applyFill="1"/>
    <xf numFmtId="14" fontId="3" fillId="0" borderId="0" xfId="0" applyNumberFormat="1" applyFont="1"/>
    <xf numFmtId="14" fontId="3" fillId="0" borderId="1" xfId="0" applyNumberFormat="1" applyFont="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finance1.xlsx]Sheet1!PivotTable1</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Sheet1!$B$2:$B$14</c:f>
              <c:numCache>
                <c:formatCode>General</c:formatCode>
                <c:ptCount val="12"/>
                <c:pt idx="0">
                  <c:v>5</c:v>
                </c:pt>
                <c:pt idx="1">
                  <c:v>5</c:v>
                </c:pt>
                <c:pt idx="2">
                  <c:v>5</c:v>
                </c:pt>
                <c:pt idx="3">
                  <c:v>5</c:v>
                </c:pt>
                <c:pt idx="4">
                  <c:v>5</c:v>
                </c:pt>
                <c:pt idx="5">
                  <c:v>5</c:v>
                </c:pt>
                <c:pt idx="6">
                  <c:v>5</c:v>
                </c:pt>
                <c:pt idx="7">
                  <c:v>5</c:v>
                </c:pt>
                <c:pt idx="8">
                  <c:v>5</c:v>
                </c:pt>
                <c:pt idx="9">
                  <c:v>5</c:v>
                </c:pt>
                <c:pt idx="10">
                  <c:v>5</c:v>
                </c:pt>
                <c:pt idx="11">
                  <c:v>5</c:v>
                </c:pt>
              </c:numCache>
            </c:numRef>
          </c:val>
          <c:extLst>
            <c:ext xmlns:c16="http://schemas.microsoft.com/office/drawing/2014/chart" uri="{C3380CC4-5D6E-409C-BE32-E72D297353CC}">
              <c16:uniqueId val="{00000000-A5F6-4519-8B36-BE11E54487E5}"/>
            </c:ext>
          </c:extLst>
        </c:ser>
        <c:dLbls>
          <c:dLblPos val="outEnd"/>
          <c:showLegendKey val="0"/>
          <c:showVal val="1"/>
          <c:showCatName val="0"/>
          <c:showSerName val="0"/>
          <c:showPercent val="0"/>
          <c:showBubbleSize val="0"/>
        </c:dLbls>
        <c:gapWidth val="108"/>
        <c:overlap val="-100"/>
        <c:axId val="2132884240"/>
        <c:axId val="2098172416"/>
      </c:barChart>
      <c:catAx>
        <c:axId val="213288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172416"/>
        <c:crosses val="autoZero"/>
        <c:auto val="1"/>
        <c:lblAlgn val="ctr"/>
        <c:lblOffset val="100"/>
        <c:noMultiLvlLbl val="0"/>
      </c:catAx>
      <c:valAx>
        <c:axId val="2098172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88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finance1.xlsx]Sheet1!PivotTable3</c:name>
    <c:fmtId val="54"/>
  </c:pivotSource>
  <c:chart>
    <c:autoTitleDeleted val="1"/>
    <c:pivotFmts>
      <c:pivotFmt>
        <c:idx val="0"/>
        <c:spPr>
          <a:solidFill>
            <a:schemeClr val="accent1"/>
          </a:solidFill>
          <a:ln>
            <a:noFill/>
          </a:ln>
          <a:effectLst>
            <a:outerShdw blurRad="50800" dist="50800" dir="5400000" algn="ctr" rotWithShape="0">
              <a:srgbClr val="000000">
                <a:alpha val="9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Sheet1!$H$1</c:f>
              <c:strCache>
                <c:ptCount val="1"/>
                <c:pt idx="0">
                  <c:v>Total</c:v>
                </c:pt>
              </c:strCache>
            </c:strRef>
          </c:tx>
          <c:spPr>
            <a:solidFill>
              <a:schemeClr val="accent1"/>
            </a:solidFill>
            <a:ln>
              <a:noFill/>
            </a:ln>
            <a:effectLst>
              <a:outerShdw blurRad="50800" dist="50800" dir="5400000" algn="ctr" rotWithShape="0">
                <a:srgbClr val="000000">
                  <a:alpha val="9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Sheet1!$H$2:$H$14</c:f>
              <c:numCache>
                <c:formatCode>General</c:formatCode>
                <c:ptCount val="12"/>
                <c:pt idx="0">
                  <c:v>5</c:v>
                </c:pt>
                <c:pt idx="1">
                  <c:v>5</c:v>
                </c:pt>
                <c:pt idx="2">
                  <c:v>5</c:v>
                </c:pt>
                <c:pt idx="3">
                  <c:v>5</c:v>
                </c:pt>
                <c:pt idx="4">
                  <c:v>5</c:v>
                </c:pt>
                <c:pt idx="5">
                  <c:v>5</c:v>
                </c:pt>
                <c:pt idx="6">
                  <c:v>5</c:v>
                </c:pt>
                <c:pt idx="7">
                  <c:v>5</c:v>
                </c:pt>
                <c:pt idx="8">
                  <c:v>5</c:v>
                </c:pt>
                <c:pt idx="9">
                  <c:v>5</c:v>
                </c:pt>
                <c:pt idx="10">
                  <c:v>5</c:v>
                </c:pt>
                <c:pt idx="11">
                  <c:v>5</c:v>
                </c:pt>
              </c:numCache>
            </c:numRef>
          </c:val>
          <c:extLst>
            <c:ext xmlns:c16="http://schemas.microsoft.com/office/drawing/2014/chart" uri="{C3380CC4-5D6E-409C-BE32-E72D297353CC}">
              <c16:uniqueId val="{00000000-7401-4052-AB1C-CCC3EF715C5C}"/>
            </c:ext>
          </c:extLst>
        </c:ser>
        <c:dLbls>
          <c:dLblPos val="outEnd"/>
          <c:showLegendKey val="0"/>
          <c:showVal val="1"/>
          <c:showCatName val="0"/>
          <c:showSerName val="0"/>
          <c:showPercent val="0"/>
          <c:showBubbleSize val="0"/>
        </c:dLbls>
        <c:gapWidth val="182"/>
        <c:axId val="364481440"/>
        <c:axId val="355469760"/>
      </c:barChart>
      <c:catAx>
        <c:axId val="364481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469760"/>
        <c:crosses val="autoZero"/>
        <c:auto val="1"/>
        <c:lblAlgn val="ctr"/>
        <c:lblOffset val="100"/>
        <c:noMultiLvlLbl val="0"/>
      </c:catAx>
      <c:valAx>
        <c:axId val="355469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8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finance1.xlsx]Sheet1!PivotTable4</c:name>
    <c:fmtId val="10"/>
  </c:pivotSource>
  <c:chart>
    <c:autoTitleDeleted val="1"/>
    <c:pivotFmts>
      <c:pivotFmt>
        <c:idx val="0"/>
        <c:spPr>
          <a:ln w="28575" cap="rnd">
            <a:solidFill>
              <a:schemeClr val="accent1">
                <a:alpha val="58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Sheet1!$K$1</c:f>
              <c:strCache>
                <c:ptCount val="1"/>
                <c:pt idx="0">
                  <c:v>Total</c:v>
                </c:pt>
              </c:strCache>
            </c:strRef>
          </c:tx>
          <c:spPr>
            <a:ln w="28575" cap="rnd">
              <a:solidFill>
                <a:schemeClr val="accent1">
                  <a:alpha val="58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Sheet1!$K$2:$K$14</c:f>
              <c:numCache>
                <c:formatCode>General</c:formatCode>
                <c:ptCount val="12"/>
                <c:pt idx="0">
                  <c:v>23900</c:v>
                </c:pt>
                <c:pt idx="1">
                  <c:v>24600</c:v>
                </c:pt>
                <c:pt idx="2">
                  <c:v>22300</c:v>
                </c:pt>
                <c:pt idx="3">
                  <c:v>24200</c:v>
                </c:pt>
                <c:pt idx="4">
                  <c:v>24400</c:v>
                </c:pt>
                <c:pt idx="5">
                  <c:v>26000</c:v>
                </c:pt>
                <c:pt idx="6">
                  <c:v>22900</c:v>
                </c:pt>
                <c:pt idx="7">
                  <c:v>24500</c:v>
                </c:pt>
                <c:pt idx="8">
                  <c:v>23400</c:v>
                </c:pt>
                <c:pt idx="9">
                  <c:v>26500</c:v>
                </c:pt>
                <c:pt idx="10">
                  <c:v>24300</c:v>
                </c:pt>
                <c:pt idx="11">
                  <c:v>28000</c:v>
                </c:pt>
              </c:numCache>
            </c:numRef>
          </c:val>
          <c:smooth val="0"/>
          <c:extLst>
            <c:ext xmlns:c16="http://schemas.microsoft.com/office/drawing/2014/chart" uri="{C3380CC4-5D6E-409C-BE32-E72D297353CC}">
              <c16:uniqueId val="{00000000-81C0-4C04-BFC9-702C8B8733D3}"/>
            </c:ext>
          </c:extLst>
        </c:ser>
        <c:dLbls>
          <c:dLblPos val="t"/>
          <c:showLegendKey val="0"/>
          <c:showVal val="1"/>
          <c:showCatName val="0"/>
          <c:showSerName val="0"/>
          <c:showPercent val="0"/>
          <c:showBubbleSize val="0"/>
        </c:dLbls>
        <c:smooth val="0"/>
        <c:axId val="379303312"/>
        <c:axId val="2097449840"/>
      </c:lineChart>
      <c:catAx>
        <c:axId val="37930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449840"/>
        <c:crosses val="autoZero"/>
        <c:auto val="1"/>
        <c:lblAlgn val="ctr"/>
        <c:lblOffset val="100"/>
        <c:noMultiLvlLbl val="0"/>
      </c:catAx>
      <c:valAx>
        <c:axId val="2097449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303312"/>
        <c:crosses val="autoZero"/>
        <c:crossBetween val="between"/>
      </c:valAx>
      <c:spPr>
        <a:noFill/>
        <a:ln>
          <a:noFill/>
        </a:ln>
        <a:effectLst>
          <a:outerShdw blurRad="50800" dist="50800" dir="5400000" algn="ctr" rotWithShape="0">
            <a:srgbClr val="000000">
              <a:alpha val="48000"/>
            </a:srgbClr>
          </a:outerShdw>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finance1.xlsx]Sheet1!PivotTable6</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2.5715704693143718E-2"/>
              <c:y val="-8.80045989678931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3511653429613519E-3"/>
              <c:y val="-8.44844150091774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schemeClr>
          </a:solidFill>
          <a:ln w="19050">
            <a:solidFill>
              <a:schemeClr val="lt1"/>
            </a:solidFill>
          </a:ln>
          <a:effectLst/>
        </c:spPr>
        <c:dLbl>
          <c:idx val="0"/>
          <c:layout>
            <c:manualLayout>
              <c:x val="-2.337791335740338E-3"/>
              <c:y val="-8.80045989678931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schemeClr>
          </a:solidFill>
          <a:ln w="19050">
            <a:solidFill>
              <a:schemeClr val="lt1"/>
            </a:solidFill>
          </a:ln>
          <a:effectLst/>
        </c:spPr>
        <c:dLbl>
          <c:idx val="0"/>
          <c:layout>
            <c:manualLayout>
              <c:x val="-2.571570469314376E-2"/>
              <c:y val="-0.109125702720187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schemeClr>
          </a:solidFill>
          <a:ln w="19050">
            <a:solidFill>
              <a:schemeClr val="lt1"/>
            </a:solidFill>
          </a:ln>
          <a:effectLst/>
        </c:spPr>
        <c:dLbl>
          <c:idx val="0"/>
          <c:layout>
            <c:manualLayout>
              <c:x val="-7.7147114079431159E-2"/>
              <c:y val="-5.98431272981673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schemeClr>
          </a:solidFill>
          <a:ln w="19050">
            <a:solidFill>
              <a:schemeClr val="lt1"/>
            </a:solidFill>
          </a:ln>
          <a:effectLst/>
        </c:spPr>
        <c:dLbl>
          <c:idx val="0"/>
          <c:layout>
            <c:manualLayout>
              <c:x val="-5.3769200722027816E-2"/>
              <c:y val="0.105605518761471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schemeClr>
          </a:solidFill>
          <a:ln w="19050">
            <a:solidFill>
              <a:schemeClr val="lt1"/>
            </a:solidFill>
          </a:ln>
          <a:effectLst/>
        </c:spPr>
        <c:dLbl>
          <c:idx val="0"/>
          <c:layout>
            <c:manualLayout>
              <c:x val="-9.3511653429613519E-3"/>
              <c:y val="9.1524782926608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w="19050">
            <a:solidFill>
              <a:schemeClr val="lt1"/>
            </a:solidFill>
          </a:ln>
          <a:effectLst/>
        </c:spPr>
        <c:dLbl>
          <c:idx val="0"/>
          <c:layout>
            <c:manualLayout>
              <c:x val="1.8702330685922704E-2"/>
              <c:y val="-6.33633112568830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w="19050">
            <a:solidFill>
              <a:schemeClr val="lt1"/>
            </a:solidFill>
          </a:ln>
          <a:effectLst/>
        </c:spPr>
        <c:dLbl>
          <c:idx val="0"/>
          <c:layout>
            <c:manualLayout>
              <c:x val="3.9742452707585744E-2"/>
              <c:y val="3.1681655628441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6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15:layout>
                <c:manualLayout>
                  <c:w val="8.0572806737551437E-3"/>
                  <c:h val="4.9229911252559058E-2"/>
                </c:manualLayout>
              </c15:layout>
            </c:ext>
          </c:extLst>
        </c:dLbl>
      </c:pivotFmt>
      <c:pivotFmt>
        <c:idx val="11"/>
        <c:spPr>
          <a:solidFill>
            <a:schemeClr val="accent5"/>
          </a:solidFill>
          <a:ln w="19050">
            <a:solidFill>
              <a:schemeClr val="lt1"/>
            </a:solidFill>
          </a:ln>
          <a:effectLst/>
        </c:spPr>
        <c:dLbl>
          <c:idx val="0"/>
          <c:layout>
            <c:manualLayout>
              <c:x val="4.909361805054701E-2"/>
              <c:y val="5.63229433394516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Sheet1!$E$1</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3-39F7-4C0C-83D8-908D944C75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39F7-4C0C-83D8-908D944C75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9-39F7-4C0C-83D8-908D944C75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A-39F7-4C0C-83D8-908D944C75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C-39F7-4C0C-83D8-908D944C7522}"/>
              </c:ext>
            </c:extLst>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8-39F7-4C0C-83D8-908D944C752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39F7-4C0C-83D8-908D944C752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B-39F7-4C0C-83D8-908D944C752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6-39F7-4C0C-83D8-908D944C752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5-39F7-4C0C-83D8-908D944C752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4-39F7-4C0C-83D8-908D944C7522}"/>
              </c:ext>
            </c:extLst>
          </c:dPt>
          <c:dLbls>
            <c:dLbl>
              <c:idx val="0"/>
              <c:layout>
                <c:manualLayout>
                  <c:x val="9.3511653429613519E-3"/>
                  <c:y val="-8.4484415009177444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9F7-4C0C-83D8-908D944C7522}"/>
                </c:ext>
              </c:extLst>
            </c:dLbl>
            <c:dLbl>
              <c:idx val="1"/>
              <c:layout>
                <c:manualLayout>
                  <c:x val="2.5715704693143718E-2"/>
                  <c:y val="-8.8004598967893144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9F7-4C0C-83D8-908D944C7522}"/>
                </c:ext>
              </c:extLst>
            </c:dLbl>
            <c:dLbl>
              <c:idx val="2"/>
              <c:layout>
                <c:manualLayout>
                  <c:x val="1.8702330685922704E-2"/>
                  <c:y val="-6.3363311256883062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9F7-4C0C-83D8-908D944C7522}"/>
                </c:ext>
              </c:extLst>
            </c:dLbl>
            <c:dLbl>
              <c:idx val="3"/>
              <c:layout>
                <c:manualLayout>
                  <c:x val="3.9742452707585744E-2"/>
                  <c:y val="3.1681655628441531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9F7-4C0C-83D8-908D944C7522}"/>
                </c:ext>
              </c:extLst>
            </c:dLbl>
            <c:dLbl>
              <c:idx val="4"/>
              <c:layout>
                <c:manualLayout>
                  <c:x val="4.909361805054701E-2"/>
                  <c:y val="5.6322943339451613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9F7-4C0C-83D8-908D944C7522}"/>
                </c:ext>
              </c:extLst>
            </c:dLbl>
            <c:dLbl>
              <c:idx val="6"/>
              <c:layout>
                <c:manualLayout>
                  <c:x val="-9.3511653429613519E-3"/>
                  <c:y val="9.1524782926608872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9F7-4C0C-83D8-908D944C7522}"/>
                </c:ext>
              </c:extLst>
            </c:dLbl>
            <c:dLbl>
              <c:idx val="7"/>
              <c:layout>
                <c:manualLayout>
                  <c:x val="-5.3769200722027816E-2"/>
                  <c:y val="0.10560551876147178"/>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9F7-4C0C-83D8-908D944C7522}"/>
                </c:ext>
              </c:extLst>
            </c:dLbl>
            <c:dLbl>
              <c:idx val="8"/>
              <c:showLegendKey val="1"/>
              <c:showVal val="1"/>
              <c:showCatName val="0"/>
              <c:showSerName val="0"/>
              <c:showPercent val="0"/>
              <c:showBubbleSize val="0"/>
              <c:extLst>
                <c:ext xmlns:c15="http://schemas.microsoft.com/office/drawing/2012/chart" uri="{CE6537A1-D6FC-4f65-9D91-7224C49458BB}">
                  <c15:layout>
                    <c:manualLayout>
                      <c:w val="8.0572806737551437E-3"/>
                      <c:h val="4.9229911252559058E-2"/>
                    </c:manualLayout>
                  </c15:layout>
                </c:ext>
                <c:ext xmlns:c16="http://schemas.microsoft.com/office/drawing/2014/chart" uri="{C3380CC4-5D6E-409C-BE32-E72D297353CC}">
                  <c16:uniqueId val="{0000000B-39F7-4C0C-83D8-908D944C7522}"/>
                </c:ext>
              </c:extLst>
            </c:dLbl>
            <c:dLbl>
              <c:idx val="9"/>
              <c:layout>
                <c:manualLayout>
                  <c:x val="-7.7147114079431159E-2"/>
                  <c:y val="-5.9843127298167341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9F7-4C0C-83D8-908D944C7522}"/>
                </c:ext>
              </c:extLst>
            </c:dLbl>
            <c:dLbl>
              <c:idx val="10"/>
              <c:layout>
                <c:manualLayout>
                  <c:x val="-2.571570469314376E-2"/>
                  <c:y val="-0.10912570272018751"/>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9F7-4C0C-83D8-908D944C7522}"/>
                </c:ext>
              </c:extLst>
            </c:dLbl>
            <c:dLbl>
              <c:idx val="11"/>
              <c:layout>
                <c:manualLayout>
                  <c:x val="-2.337791335740338E-3"/>
                  <c:y val="-8.8004598967893172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9F7-4C0C-83D8-908D944C752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Sheet1!$E$2:$E$14</c:f>
              <c:numCache>
                <c:formatCode>General</c:formatCode>
                <c:ptCount val="12"/>
                <c:pt idx="0">
                  <c:v>5</c:v>
                </c:pt>
                <c:pt idx="1">
                  <c:v>5</c:v>
                </c:pt>
                <c:pt idx="2">
                  <c:v>5</c:v>
                </c:pt>
                <c:pt idx="3">
                  <c:v>5</c:v>
                </c:pt>
                <c:pt idx="4">
                  <c:v>5</c:v>
                </c:pt>
                <c:pt idx="5">
                  <c:v>5</c:v>
                </c:pt>
                <c:pt idx="6">
                  <c:v>5</c:v>
                </c:pt>
                <c:pt idx="7">
                  <c:v>5</c:v>
                </c:pt>
                <c:pt idx="8">
                  <c:v>5</c:v>
                </c:pt>
                <c:pt idx="9">
                  <c:v>5</c:v>
                </c:pt>
                <c:pt idx="10">
                  <c:v>5</c:v>
                </c:pt>
                <c:pt idx="11">
                  <c:v>5</c:v>
                </c:pt>
              </c:numCache>
            </c:numRef>
          </c:val>
          <c:extLst>
            <c:ext xmlns:c16="http://schemas.microsoft.com/office/drawing/2014/chart" uri="{C3380CC4-5D6E-409C-BE32-E72D297353CC}">
              <c16:uniqueId val="{00000000-39F7-4C0C-83D8-908D944C752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finance1.xlsx]Sheet1!PivotTable1</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Sheet1!$B$2:$B$14</c:f>
              <c:numCache>
                <c:formatCode>General</c:formatCode>
                <c:ptCount val="12"/>
                <c:pt idx="0">
                  <c:v>5</c:v>
                </c:pt>
                <c:pt idx="1">
                  <c:v>5</c:v>
                </c:pt>
                <c:pt idx="2">
                  <c:v>5</c:v>
                </c:pt>
                <c:pt idx="3">
                  <c:v>5</c:v>
                </c:pt>
                <c:pt idx="4">
                  <c:v>5</c:v>
                </c:pt>
                <c:pt idx="5">
                  <c:v>5</c:v>
                </c:pt>
                <c:pt idx="6">
                  <c:v>5</c:v>
                </c:pt>
                <c:pt idx="7">
                  <c:v>5</c:v>
                </c:pt>
                <c:pt idx="8">
                  <c:v>5</c:v>
                </c:pt>
                <c:pt idx="9">
                  <c:v>5</c:v>
                </c:pt>
                <c:pt idx="10">
                  <c:v>5</c:v>
                </c:pt>
                <c:pt idx="11">
                  <c:v>5</c:v>
                </c:pt>
              </c:numCache>
            </c:numRef>
          </c:val>
          <c:extLst>
            <c:ext xmlns:c16="http://schemas.microsoft.com/office/drawing/2014/chart" uri="{C3380CC4-5D6E-409C-BE32-E72D297353CC}">
              <c16:uniqueId val="{00000000-3FCC-4791-82C1-03ED0EB5B5D7}"/>
            </c:ext>
          </c:extLst>
        </c:ser>
        <c:dLbls>
          <c:dLblPos val="outEnd"/>
          <c:showLegendKey val="0"/>
          <c:showVal val="1"/>
          <c:showCatName val="0"/>
          <c:showSerName val="0"/>
          <c:showPercent val="0"/>
          <c:showBubbleSize val="0"/>
        </c:dLbls>
        <c:gapWidth val="108"/>
        <c:overlap val="-100"/>
        <c:axId val="2132884240"/>
        <c:axId val="2098172416"/>
      </c:barChart>
      <c:catAx>
        <c:axId val="213288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172416"/>
        <c:crosses val="autoZero"/>
        <c:auto val="1"/>
        <c:lblAlgn val="ctr"/>
        <c:lblOffset val="100"/>
        <c:noMultiLvlLbl val="0"/>
      </c:catAx>
      <c:valAx>
        <c:axId val="2098172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88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finance1.xlsx]Sheet1!PivotTable6</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2.5715704693143718E-2"/>
              <c:y val="-8.80045989678931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3511653429613519E-3"/>
              <c:y val="-8.44844150091774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schemeClr>
          </a:solidFill>
          <a:ln w="19050">
            <a:solidFill>
              <a:schemeClr val="lt1"/>
            </a:solidFill>
          </a:ln>
          <a:effectLst/>
        </c:spPr>
        <c:dLbl>
          <c:idx val="0"/>
          <c:layout>
            <c:manualLayout>
              <c:x val="-2.337791335740338E-3"/>
              <c:y val="-8.80045989678931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schemeClr>
          </a:solidFill>
          <a:ln w="19050">
            <a:solidFill>
              <a:schemeClr val="lt1"/>
            </a:solidFill>
          </a:ln>
          <a:effectLst/>
        </c:spPr>
        <c:dLbl>
          <c:idx val="0"/>
          <c:layout>
            <c:manualLayout>
              <c:x val="-2.571570469314376E-2"/>
              <c:y val="-0.109125702720187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schemeClr>
          </a:solidFill>
          <a:ln w="19050">
            <a:solidFill>
              <a:schemeClr val="lt1"/>
            </a:solidFill>
          </a:ln>
          <a:effectLst/>
        </c:spPr>
        <c:dLbl>
          <c:idx val="0"/>
          <c:layout>
            <c:manualLayout>
              <c:x val="-7.7147114079431159E-2"/>
              <c:y val="-5.98431272981673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schemeClr>
          </a:solidFill>
          <a:ln w="19050">
            <a:solidFill>
              <a:schemeClr val="lt1"/>
            </a:solidFill>
          </a:ln>
          <a:effectLst/>
        </c:spPr>
        <c:dLbl>
          <c:idx val="0"/>
          <c:layout>
            <c:manualLayout>
              <c:x val="-5.3769200722027816E-2"/>
              <c:y val="0.105605518761471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schemeClr>
          </a:solidFill>
          <a:ln w="19050">
            <a:solidFill>
              <a:schemeClr val="lt1"/>
            </a:solidFill>
          </a:ln>
          <a:effectLst/>
        </c:spPr>
        <c:dLbl>
          <c:idx val="0"/>
          <c:layout>
            <c:manualLayout>
              <c:x val="-9.3511653429613519E-3"/>
              <c:y val="9.1524782926608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w="19050">
            <a:solidFill>
              <a:schemeClr val="lt1"/>
            </a:solidFill>
          </a:ln>
          <a:effectLst/>
        </c:spPr>
        <c:dLbl>
          <c:idx val="0"/>
          <c:layout>
            <c:manualLayout>
              <c:x val="1.8702330685922704E-2"/>
              <c:y val="-6.33633112568830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w="19050">
            <a:solidFill>
              <a:schemeClr val="lt1"/>
            </a:solidFill>
          </a:ln>
          <a:effectLst/>
        </c:spPr>
        <c:dLbl>
          <c:idx val="0"/>
          <c:layout>
            <c:manualLayout>
              <c:x val="3.9742452707585744E-2"/>
              <c:y val="3.1681655628441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6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15:layout>
                <c:manualLayout>
                  <c:w val="8.0572806737551437E-3"/>
                  <c:h val="4.9229911252559058E-2"/>
                </c:manualLayout>
              </c15:layout>
            </c:ext>
          </c:extLst>
        </c:dLbl>
      </c:pivotFmt>
      <c:pivotFmt>
        <c:idx val="11"/>
        <c:spPr>
          <a:solidFill>
            <a:schemeClr val="accent5"/>
          </a:solidFill>
          <a:ln w="19050">
            <a:solidFill>
              <a:schemeClr val="lt1"/>
            </a:solidFill>
          </a:ln>
          <a:effectLst/>
        </c:spPr>
        <c:dLbl>
          <c:idx val="0"/>
          <c:layout>
            <c:manualLayout>
              <c:x val="4.909361805054701E-2"/>
              <c:y val="5.63229433394516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3511653429613519E-3"/>
              <c:y val="-8.44844150091774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2.5715704693143718E-2"/>
              <c:y val="-8.80045989678931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1.8702330685922704E-2"/>
              <c:y val="-6.33633112568830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3.9742452707585744E-2"/>
              <c:y val="3.1681655628441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4.909361805054701E-2"/>
              <c:y val="5.63229433394516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dLbl>
          <c:idx val="0"/>
          <c:layout>
            <c:manualLayout>
              <c:x val="-9.3511653429613519E-3"/>
              <c:y val="9.1524782926608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5.3769200722027816E-2"/>
              <c:y val="0.105605518761471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15:layout>
                <c:manualLayout>
                  <c:w val="8.0572806737551437E-3"/>
                  <c:h val="4.9229911252559058E-2"/>
                </c:manualLayout>
              </c15:layout>
            </c:ext>
          </c:extLst>
        </c:dLbl>
      </c:pivotFmt>
      <c:pivotFmt>
        <c:idx val="22"/>
        <c:spPr>
          <a:solidFill>
            <a:schemeClr val="accent1"/>
          </a:solidFill>
          <a:ln w="19050">
            <a:solidFill>
              <a:schemeClr val="lt1"/>
            </a:solidFill>
          </a:ln>
          <a:effectLst/>
        </c:spPr>
        <c:dLbl>
          <c:idx val="0"/>
          <c:layout>
            <c:manualLayout>
              <c:x val="-7.7147114079431159E-2"/>
              <c:y val="-5.98431272981673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2.571570469314376E-2"/>
              <c:y val="-0.109125702720187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2.337791335740338E-3"/>
              <c:y val="-8.80045989678931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9.3511653429613519E-3"/>
              <c:y val="-8.44844150091774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2.5715704693143718E-2"/>
              <c:y val="-8.80045989678931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1.8702330685922704E-2"/>
              <c:y val="-6.33633112568830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3.9742452707585744E-2"/>
              <c:y val="3.1681655628441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4.909361805054701E-2"/>
              <c:y val="5.63229433394516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dLbl>
          <c:idx val="0"/>
          <c:layout>
            <c:manualLayout>
              <c:x val="-9.3511653429613519E-3"/>
              <c:y val="9.1524782926608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dLbl>
          <c:idx val="0"/>
          <c:layout>
            <c:manualLayout>
              <c:x val="-5.3769200722027816E-2"/>
              <c:y val="0.105605518761471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15:layout>
                <c:manualLayout>
                  <c:w val="8.0572806737551437E-3"/>
                  <c:h val="4.9229911252559058E-2"/>
                </c:manualLayout>
              </c15:layout>
            </c:ext>
          </c:extLst>
        </c:dLbl>
      </c:pivotFmt>
      <c:pivotFmt>
        <c:idx val="35"/>
        <c:spPr>
          <a:solidFill>
            <a:schemeClr val="accent1"/>
          </a:solidFill>
          <a:ln w="19050">
            <a:solidFill>
              <a:schemeClr val="lt1"/>
            </a:solidFill>
          </a:ln>
          <a:effectLst/>
        </c:spPr>
        <c:dLbl>
          <c:idx val="0"/>
          <c:layout>
            <c:manualLayout>
              <c:x val="-7.7147114079431159E-2"/>
              <c:y val="-5.98431272981673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dLbl>
          <c:idx val="0"/>
          <c:layout>
            <c:manualLayout>
              <c:x val="-2.571570469314376E-2"/>
              <c:y val="-0.109125702720187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dLbl>
          <c:idx val="0"/>
          <c:layout>
            <c:manualLayout>
              <c:x val="-2.337791335740338E-3"/>
              <c:y val="-8.80045989678931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Sheet1!$E$1</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40-4CD8-B52F-4FAD1643AB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40-4CD8-B52F-4FAD1643AB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40-4CD8-B52F-4FAD1643AB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40-4CD8-B52F-4FAD1643AB5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C40-4CD8-B52F-4FAD1643AB5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C40-4CD8-B52F-4FAD1643AB5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C40-4CD8-B52F-4FAD1643AB5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C40-4CD8-B52F-4FAD1643AB5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C40-4CD8-B52F-4FAD1643AB5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C40-4CD8-B52F-4FAD1643AB5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C40-4CD8-B52F-4FAD1643AB5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C40-4CD8-B52F-4FAD1643AB55}"/>
              </c:ext>
            </c:extLst>
          </c:dPt>
          <c:dLbls>
            <c:dLbl>
              <c:idx val="0"/>
              <c:layout>
                <c:manualLayout>
                  <c:x val="9.3511653429613519E-3"/>
                  <c:y val="-8.4484415009177444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40-4CD8-B52F-4FAD1643AB55}"/>
                </c:ext>
              </c:extLst>
            </c:dLbl>
            <c:dLbl>
              <c:idx val="1"/>
              <c:layout>
                <c:manualLayout>
                  <c:x val="2.5715704693143718E-2"/>
                  <c:y val="-8.8004598967893144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40-4CD8-B52F-4FAD1643AB55}"/>
                </c:ext>
              </c:extLst>
            </c:dLbl>
            <c:dLbl>
              <c:idx val="2"/>
              <c:layout>
                <c:manualLayout>
                  <c:x val="1.8702330685922704E-2"/>
                  <c:y val="-6.3363311256883062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40-4CD8-B52F-4FAD1643AB55}"/>
                </c:ext>
              </c:extLst>
            </c:dLbl>
            <c:dLbl>
              <c:idx val="3"/>
              <c:layout>
                <c:manualLayout>
                  <c:x val="3.9742452707585744E-2"/>
                  <c:y val="3.1681655628441531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C40-4CD8-B52F-4FAD1643AB55}"/>
                </c:ext>
              </c:extLst>
            </c:dLbl>
            <c:dLbl>
              <c:idx val="4"/>
              <c:layout>
                <c:manualLayout>
                  <c:x val="4.909361805054701E-2"/>
                  <c:y val="5.6322943339451613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C40-4CD8-B52F-4FAD1643AB55}"/>
                </c:ext>
              </c:extLst>
            </c:dLbl>
            <c:dLbl>
              <c:idx val="6"/>
              <c:layout>
                <c:manualLayout>
                  <c:x val="-9.3511653429613519E-3"/>
                  <c:y val="9.1524782926608872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C40-4CD8-B52F-4FAD1643AB55}"/>
                </c:ext>
              </c:extLst>
            </c:dLbl>
            <c:dLbl>
              <c:idx val="7"/>
              <c:layout>
                <c:manualLayout>
                  <c:x val="-5.3769200722027816E-2"/>
                  <c:y val="0.10560551876147178"/>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C40-4CD8-B52F-4FAD1643AB55}"/>
                </c:ext>
              </c:extLst>
            </c:dLbl>
            <c:dLbl>
              <c:idx val="8"/>
              <c:showLegendKey val="1"/>
              <c:showVal val="1"/>
              <c:showCatName val="0"/>
              <c:showSerName val="0"/>
              <c:showPercent val="0"/>
              <c:showBubbleSize val="0"/>
              <c:extLst>
                <c:ext xmlns:c15="http://schemas.microsoft.com/office/drawing/2012/chart" uri="{CE6537A1-D6FC-4f65-9D91-7224C49458BB}">
                  <c15:layout>
                    <c:manualLayout>
                      <c:w val="8.0572806737551437E-3"/>
                      <c:h val="4.9229911252559058E-2"/>
                    </c:manualLayout>
                  </c15:layout>
                </c:ext>
                <c:ext xmlns:c16="http://schemas.microsoft.com/office/drawing/2014/chart" uri="{C3380CC4-5D6E-409C-BE32-E72D297353CC}">
                  <c16:uniqueId val="{00000011-AC40-4CD8-B52F-4FAD1643AB55}"/>
                </c:ext>
              </c:extLst>
            </c:dLbl>
            <c:dLbl>
              <c:idx val="9"/>
              <c:layout>
                <c:manualLayout>
                  <c:x val="-7.7147114079431159E-2"/>
                  <c:y val="-5.9843127298167341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C40-4CD8-B52F-4FAD1643AB55}"/>
                </c:ext>
              </c:extLst>
            </c:dLbl>
            <c:dLbl>
              <c:idx val="10"/>
              <c:layout>
                <c:manualLayout>
                  <c:x val="-2.571570469314376E-2"/>
                  <c:y val="-0.10912570272018751"/>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C40-4CD8-B52F-4FAD1643AB55}"/>
                </c:ext>
              </c:extLst>
            </c:dLbl>
            <c:dLbl>
              <c:idx val="11"/>
              <c:layout>
                <c:manualLayout>
                  <c:x val="-2.337791335740338E-3"/>
                  <c:y val="-8.8004598967893172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AC40-4CD8-B52F-4FAD1643AB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Sheet1!$E$2:$E$14</c:f>
              <c:numCache>
                <c:formatCode>General</c:formatCode>
                <c:ptCount val="12"/>
                <c:pt idx="0">
                  <c:v>5</c:v>
                </c:pt>
                <c:pt idx="1">
                  <c:v>5</c:v>
                </c:pt>
                <c:pt idx="2">
                  <c:v>5</c:v>
                </c:pt>
                <c:pt idx="3">
                  <c:v>5</c:v>
                </c:pt>
                <c:pt idx="4">
                  <c:v>5</c:v>
                </c:pt>
                <c:pt idx="5">
                  <c:v>5</c:v>
                </c:pt>
                <c:pt idx="6">
                  <c:v>5</c:v>
                </c:pt>
                <c:pt idx="7">
                  <c:v>5</c:v>
                </c:pt>
                <c:pt idx="8">
                  <c:v>5</c:v>
                </c:pt>
                <c:pt idx="9">
                  <c:v>5</c:v>
                </c:pt>
                <c:pt idx="10">
                  <c:v>5</c:v>
                </c:pt>
                <c:pt idx="11">
                  <c:v>5</c:v>
                </c:pt>
              </c:numCache>
            </c:numRef>
          </c:val>
          <c:extLst>
            <c:ext xmlns:c16="http://schemas.microsoft.com/office/drawing/2014/chart" uri="{C3380CC4-5D6E-409C-BE32-E72D297353CC}">
              <c16:uniqueId val="{00000018-AC40-4CD8-B52F-4FAD1643AB55}"/>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finance1.xlsx]Sheet1!PivotTable3</c:name>
    <c:fmtId val="56"/>
  </c:pivotSource>
  <c:chart>
    <c:autoTitleDeleted val="1"/>
    <c:pivotFmts>
      <c:pivotFmt>
        <c:idx val="0"/>
        <c:spPr>
          <a:solidFill>
            <a:schemeClr val="accent1"/>
          </a:solidFill>
          <a:ln>
            <a:noFill/>
          </a:ln>
          <a:effectLst>
            <a:outerShdw blurRad="50800" dist="50800" dir="5400000" algn="ctr" rotWithShape="0">
              <a:srgbClr val="000000">
                <a:alpha val="9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50800" dir="5400000" algn="ctr" rotWithShape="0">
              <a:srgbClr val="000000">
                <a:alpha val="9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50800" dir="5400000" algn="ctr" rotWithShape="0">
              <a:srgbClr val="000000">
                <a:alpha val="9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82320445887726"/>
          <c:y val="9.0721913689747177E-2"/>
          <c:w val="0.72091214243567425"/>
          <c:h val="0.8508303354204676"/>
        </c:manualLayout>
      </c:layout>
      <c:barChart>
        <c:barDir val="bar"/>
        <c:grouping val="clustered"/>
        <c:varyColors val="0"/>
        <c:ser>
          <c:idx val="0"/>
          <c:order val="0"/>
          <c:tx>
            <c:strRef>
              <c:f>Sheet1!$H$1</c:f>
              <c:strCache>
                <c:ptCount val="1"/>
                <c:pt idx="0">
                  <c:v>Total</c:v>
                </c:pt>
              </c:strCache>
            </c:strRef>
          </c:tx>
          <c:spPr>
            <a:solidFill>
              <a:schemeClr val="accent1"/>
            </a:solidFill>
            <a:ln>
              <a:noFill/>
            </a:ln>
            <a:effectLst>
              <a:outerShdw blurRad="50800" dist="50800" dir="5400000" algn="ctr" rotWithShape="0">
                <a:srgbClr val="000000">
                  <a:alpha val="9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Sheet1!$H$2:$H$14</c:f>
              <c:numCache>
                <c:formatCode>General</c:formatCode>
                <c:ptCount val="12"/>
                <c:pt idx="0">
                  <c:v>5</c:v>
                </c:pt>
                <c:pt idx="1">
                  <c:v>5</c:v>
                </c:pt>
                <c:pt idx="2">
                  <c:v>5</c:v>
                </c:pt>
                <c:pt idx="3">
                  <c:v>5</c:v>
                </c:pt>
                <c:pt idx="4">
                  <c:v>5</c:v>
                </c:pt>
                <c:pt idx="5">
                  <c:v>5</c:v>
                </c:pt>
                <c:pt idx="6">
                  <c:v>5</c:v>
                </c:pt>
                <c:pt idx="7">
                  <c:v>5</c:v>
                </c:pt>
                <c:pt idx="8">
                  <c:v>5</c:v>
                </c:pt>
                <c:pt idx="9">
                  <c:v>5</c:v>
                </c:pt>
                <c:pt idx="10">
                  <c:v>5</c:v>
                </c:pt>
                <c:pt idx="11">
                  <c:v>5</c:v>
                </c:pt>
              </c:numCache>
            </c:numRef>
          </c:val>
          <c:extLst>
            <c:ext xmlns:c16="http://schemas.microsoft.com/office/drawing/2014/chart" uri="{C3380CC4-5D6E-409C-BE32-E72D297353CC}">
              <c16:uniqueId val="{00000000-9E8A-4CF1-B7D6-0F512DB30BB9}"/>
            </c:ext>
          </c:extLst>
        </c:ser>
        <c:dLbls>
          <c:dLblPos val="outEnd"/>
          <c:showLegendKey val="0"/>
          <c:showVal val="1"/>
          <c:showCatName val="0"/>
          <c:showSerName val="0"/>
          <c:showPercent val="0"/>
          <c:showBubbleSize val="0"/>
        </c:dLbls>
        <c:gapWidth val="182"/>
        <c:axId val="364481440"/>
        <c:axId val="355469760"/>
      </c:barChart>
      <c:catAx>
        <c:axId val="364481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469760"/>
        <c:crosses val="autoZero"/>
        <c:auto val="1"/>
        <c:lblAlgn val="ctr"/>
        <c:lblOffset val="100"/>
        <c:noMultiLvlLbl val="0"/>
      </c:catAx>
      <c:valAx>
        <c:axId val="355469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8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finance1.xlsx]Sheet1!PivotTable4</c:name>
    <c:fmtId val="12"/>
  </c:pivotSource>
  <c:chart>
    <c:autoTitleDeleted val="1"/>
    <c:pivotFmts>
      <c:pivotFmt>
        <c:idx val="0"/>
        <c:spPr>
          <a:solidFill>
            <a:schemeClr val="accent1"/>
          </a:solidFill>
          <a:ln w="28575" cap="rnd">
            <a:solidFill>
              <a:schemeClr val="accent1">
                <a:alpha val="58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alpha val="58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alpha val="58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Sheet1!$K$1</c:f>
              <c:strCache>
                <c:ptCount val="1"/>
                <c:pt idx="0">
                  <c:v>Total</c:v>
                </c:pt>
              </c:strCache>
            </c:strRef>
          </c:tx>
          <c:spPr>
            <a:ln w="28575" cap="rnd">
              <a:solidFill>
                <a:schemeClr val="accent1">
                  <a:alpha val="58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Sheet1!$K$2:$K$14</c:f>
              <c:numCache>
                <c:formatCode>General</c:formatCode>
                <c:ptCount val="12"/>
                <c:pt idx="0">
                  <c:v>23900</c:v>
                </c:pt>
                <c:pt idx="1">
                  <c:v>24600</c:v>
                </c:pt>
                <c:pt idx="2">
                  <c:v>22300</c:v>
                </c:pt>
                <c:pt idx="3">
                  <c:v>24200</c:v>
                </c:pt>
                <c:pt idx="4">
                  <c:v>24400</c:v>
                </c:pt>
                <c:pt idx="5">
                  <c:v>26000</c:v>
                </c:pt>
                <c:pt idx="6">
                  <c:v>22900</c:v>
                </c:pt>
                <c:pt idx="7">
                  <c:v>24500</c:v>
                </c:pt>
                <c:pt idx="8">
                  <c:v>23400</c:v>
                </c:pt>
                <c:pt idx="9">
                  <c:v>26500</c:v>
                </c:pt>
                <c:pt idx="10">
                  <c:v>24300</c:v>
                </c:pt>
                <c:pt idx="11">
                  <c:v>28000</c:v>
                </c:pt>
              </c:numCache>
            </c:numRef>
          </c:val>
          <c:smooth val="0"/>
          <c:extLst>
            <c:ext xmlns:c16="http://schemas.microsoft.com/office/drawing/2014/chart" uri="{C3380CC4-5D6E-409C-BE32-E72D297353CC}">
              <c16:uniqueId val="{00000000-B3A9-495A-8156-0C8DE36BD33A}"/>
            </c:ext>
          </c:extLst>
        </c:ser>
        <c:dLbls>
          <c:dLblPos val="t"/>
          <c:showLegendKey val="0"/>
          <c:showVal val="1"/>
          <c:showCatName val="0"/>
          <c:showSerName val="0"/>
          <c:showPercent val="0"/>
          <c:showBubbleSize val="0"/>
        </c:dLbls>
        <c:smooth val="0"/>
        <c:axId val="379303312"/>
        <c:axId val="2097449840"/>
      </c:lineChart>
      <c:catAx>
        <c:axId val="37930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449840"/>
        <c:crosses val="autoZero"/>
        <c:auto val="1"/>
        <c:lblAlgn val="ctr"/>
        <c:lblOffset val="100"/>
        <c:noMultiLvlLbl val="0"/>
      </c:catAx>
      <c:valAx>
        <c:axId val="2097449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303312"/>
        <c:crosses val="autoZero"/>
        <c:crossBetween val="between"/>
      </c:valAx>
      <c:spPr>
        <a:noFill/>
        <a:ln>
          <a:noFill/>
        </a:ln>
        <a:effectLst>
          <a:outerShdw blurRad="50800" dist="50800" dir="5400000" algn="ctr" rotWithShape="0">
            <a:srgbClr val="000000">
              <a:alpha val="48000"/>
            </a:srgbClr>
          </a:outerShdw>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7.xml"/><Relationship Id="rId7" Type="http://schemas.openxmlformats.org/officeDocument/2006/relationships/image" Target="../media/image1.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image" Target="../media/image4.svg"/><Relationship Id="rId4" Type="http://schemas.openxmlformats.org/officeDocument/2006/relationships/chart" Target="../charts/chart8.xml"/><Relationship Id="rId9"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144780</xdr:colOff>
      <xdr:row>16</xdr:row>
      <xdr:rowOff>99060</xdr:rowOff>
    </xdr:from>
    <xdr:to>
      <xdr:col>7</xdr:col>
      <xdr:colOff>1134341</xdr:colOff>
      <xdr:row>36</xdr:row>
      <xdr:rowOff>45720</xdr:rowOff>
    </xdr:to>
    <xdr:graphicFrame macro="">
      <xdr:nvGraphicFramePr>
        <xdr:cNvPr id="3" name="Chart 2">
          <a:extLst>
            <a:ext uri="{FF2B5EF4-FFF2-40B4-BE49-F238E27FC236}">
              <a16:creationId xmlns:a16="http://schemas.microsoft.com/office/drawing/2014/main" id="{7B676508-D9BD-86C0-AD05-C3F7D480B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144780</xdr:colOff>
      <xdr:row>38</xdr:row>
      <xdr:rowOff>114300</xdr:rowOff>
    </xdr:from>
    <xdr:to>
      <xdr:col>7</xdr:col>
      <xdr:colOff>1194954</xdr:colOff>
      <xdr:row>58</xdr:row>
      <xdr:rowOff>7620</xdr:rowOff>
    </xdr:to>
    <xdr:graphicFrame macro="">
      <xdr:nvGraphicFramePr>
        <xdr:cNvPr id="6" name="Chart 5">
          <a:extLst>
            <a:ext uri="{FF2B5EF4-FFF2-40B4-BE49-F238E27FC236}">
              <a16:creationId xmlns:a16="http://schemas.microsoft.com/office/drawing/2014/main" id="{93259463-EBCC-2A5B-9712-27A888764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103909</xdr:colOff>
      <xdr:row>38</xdr:row>
      <xdr:rowOff>91440</xdr:rowOff>
    </xdr:from>
    <xdr:to>
      <xdr:col>13</xdr:col>
      <xdr:colOff>701386</xdr:colOff>
      <xdr:row>57</xdr:row>
      <xdr:rowOff>167640</xdr:rowOff>
    </xdr:to>
    <xdr:graphicFrame macro="">
      <xdr:nvGraphicFramePr>
        <xdr:cNvPr id="7" name="Chart 6">
          <a:extLst>
            <a:ext uri="{FF2B5EF4-FFF2-40B4-BE49-F238E27FC236}">
              <a16:creationId xmlns:a16="http://schemas.microsoft.com/office/drawing/2014/main" id="{F42AAFA3-2526-8F1E-A431-70B37618AC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69273</xdr:colOff>
      <xdr:row>16</xdr:row>
      <xdr:rowOff>98533</xdr:rowOff>
    </xdr:from>
    <xdr:to>
      <xdr:col>13</xdr:col>
      <xdr:colOff>684067</xdr:colOff>
      <xdr:row>36</xdr:row>
      <xdr:rowOff>59120</xdr:rowOff>
    </xdr:to>
    <xdr:graphicFrame macro="">
      <xdr:nvGraphicFramePr>
        <xdr:cNvPr id="9" name="Chart 8">
          <a:extLst>
            <a:ext uri="{FF2B5EF4-FFF2-40B4-BE49-F238E27FC236}">
              <a16:creationId xmlns:a16="http://schemas.microsoft.com/office/drawing/2014/main" id="{470359B3-B634-C842-EA34-403DDF3EDC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329046</xdr:colOff>
      <xdr:row>59</xdr:row>
      <xdr:rowOff>138545</xdr:rowOff>
    </xdr:from>
    <xdr:to>
      <xdr:col>4</xdr:col>
      <xdr:colOff>995797</xdr:colOff>
      <xdr:row>74</xdr:row>
      <xdr:rowOff>138545</xdr:rowOff>
    </xdr:to>
    <mc:AlternateContent xmlns:mc="http://schemas.openxmlformats.org/markup-compatibility/2006">
      <mc:Choice xmlns:a14="http://schemas.microsoft.com/office/drawing/2010/main" Requires="a14">
        <xdr:graphicFrame macro="">
          <xdr:nvGraphicFramePr>
            <xdr:cNvPr id="10" name="Month">
              <a:extLst>
                <a:ext uri="{FF2B5EF4-FFF2-40B4-BE49-F238E27FC236}">
                  <a16:creationId xmlns:a16="http://schemas.microsoft.com/office/drawing/2014/main" id="{89AFDCF2-93BC-D09E-8496-92A4811E29A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112819" y="10867159"/>
              <a:ext cx="1956955" cy="27276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233797</xdr:colOff>
      <xdr:row>60</xdr:row>
      <xdr:rowOff>0</xdr:rowOff>
    </xdr:from>
    <xdr:to>
      <xdr:col>7</xdr:col>
      <xdr:colOff>762001</xdr:colOff>
      <xdr:row>71</xdr:row>
      <xdr:rowOff>95250</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4D9E9D07-0419-9316-9749-EDF964E419C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701888" y="10910455"/>
              <a:ext cx="1394113"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190501</xdr:colOff>
      <xdr:row>59</xdr:row>
      <xdr:rowOff>121227</xdr:rowOff>
    </xdr:from>
    <xdr:to>
      <xdr:col>2</xdr:col>
      <xdr:colOff>60614</xdr:colOff>
      <xdr:row>75</xdr:row>
      <xdr:rowOff>77932</xdr:rowOff>
    </xdr:to>
    <mc:AlternateContent xmlns:mc="http://schemas.openxmlformats.org/markup-compatibility/2006">
      <mc:Choice xmlns:a14="http://schemas.microsoft.com/office/drawing/2010/main" Requires="a14">
        <xdr:graphicFrame macro="">
          <xdr:nvGraphicFramePr>
            <xdr:cNvPr id="12" name="Discription">
              <a:extLst>
                <a:ext uri="{FF2B5EF4-FFF2-40B4-BE49-F238E27FC236}">
                  <a16:creationId xmlns:a16="http://schemas.microsoft.com/office/drawing/2014/main" id="{0BE759C4-292E-A427-7C3D-D44730203A5E}"/>
                </a:ext>
              </a:extLst>
            </xdr:cNvPr>
            <xdr:cNvGraphicFramePr/>
          </xdr:nvGraphicFramePr>
          <xdr:xfrm>
            <a:off x="0" y="0"/>
            <a:ext cx="0" cy="0"/>
          </xdr:xfrm>
          <a:graphic>
            <a:graphicData uri="http://schemas.microsoft.com/office/drawing/2010/slicer">
              <sle:slicer xmlns:sle="http://schemas.microsoft.com/office/drawing/2010/slicer" name="Discription"/>
            </a:graphicData>
          </a:graphic>
        </xdr:graphicFrame>
      </mc:Choice>
      <mc:Fallback>
        <xdr:sp macro="" textlink="">
          <xdr:nvSpPr>
            <xdr:cNvPr id="0" name=""/>
            <xdr:cNvSpPr>
              <a:spLocks noTextEdit="1"/>
            </xdr:cNvSpPr>
          </xdr:nvSpPr>
          <xdr:spPr>
            <a:xfrm>
              <a:off x="190501" y="10849841"/>
              <a:ext cx="1653886" cy="2866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0</xdr:row>
      <xdr:rowOff>60960</xdr:rowOff>
    </xdr:from>
    <xdr:to>
      <xdr:col>21</xdr:col>
      <xdr:colOff>175260</xdr:colOff>
      <xdr:row>5</xdr:row>
      <xdr:rowOff>152400</xdr:rowOff>
    </xdr:to>
    <xdr:sp macro="" textlink="">
      <xdr:nvSpPr>
        <xdr:cNvPr id="2" name="Rectangle: Rounded Corners 1">
          <a:extLst>
            <a:ext uri="{FF2B5EF4-FFF2-40B4-BE49-F238E27FC236}">
              <a16:creationId xmlns:a16="http://schemas.microsoft.com/office/drawing/2014/main" id="{DA113431-294F-36DA-1093-D6562F1CFCEB}"/>
            </a:ext>
          </a:extLst>
        </xdr:cNvPr>
        <xdr:cNvSpPr/>
      </xdr:nvSpPr>
      <xdr:spPr>
        <a:xfrm>
          <a:off x="7620" y="60960"/>
          <a:ext cx="12969240" cy="10058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297180</xdr:colOff>
      <xdr:row>1</xdr:row>
      <xdr:rowOff>38100</xdr:rowOff>
    </xdr:from>
    <xdr:to>
      <xdr:col>14</xdr:col>
      <xdr:colOff>106680</xdr:colOff>
      <xdr:row>4</xdr:row>
      <xdr:rowOff>83820</xdr:rowOff>
    </xdr:to>
    <xdr:sp macro="" textlink="">
      <xdr:nvSpPr>
        <xdr:cNvPr id="3" name="TextBox 2">
          <a:extLst>
            <a:ext uri="{FF2B5EF4-FFF2-40B4-BE49-F238E27FC236}">
              <a16:creationId xmlns:a16="http://schemas.microsoft.com/office/drawing/2014/main" id="{125E1269-4309-0C47-646F-DCF354C896F3}"/>
            </a:ext>
          </a:extLst>
        </xdr:cNvPr>
        <xdr:cNvSpPr txBox="1"/>
      </xdr:nvSpPr>
      <xdr:spPr>
        <a:xfrm>
          <a:off x="2735580" y="220980"/>
          <a:ext cx="5905500" cy="594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tx2">
                  <a:lumMod val="75000"/>
                  <a:lumOff val="25000"/>
                </a:schemeClr>
              </a:solidFill>
            </a:rPr>
            <a:t>PERSONAL FINANCE BUDGET DASHBOARD</a:t>
          </a:r>
        </a:p>
      </xdr:txBody>
    </xdr:sp>
    <xdr:clientData/>
  </xdr:twoCellAnchor>
  <xdr:twoCellAnchor>
    <xdr:from>
      <xdr:col>0</xdr:col>
      <xdr:colOff>83820</xdr:colOff>
      <xdr:row>6</xdr:row>
      <xdr:rowOff>30480</xdr:rowOff>
    </xdr:from>
    <xdr:to>
      <xdr:col>5</xdr:col>
      <xdr:colOff>601980</xdr:colOff>
      <xdr:row>12</xdr:row>
      <xdr:rowOff>15240</xdr:rowOff>
    </xdr:to>
    <xdr:sp macro="" textlink="">
      <xdr:nvSpPr>
        <xdr:cNvPr id="4" name="Rectangle: Rounded Corners 3">
          <a:extLst>
            <a:ext uri="{FF2B5EF4-FFF2-40B4-BE49-F238E27FC236}">
              <a16:creationId xmlns:a16="http://schemas.microsoft.com/office/drawing/2014/main" id="{AFADD952-3586-63CA-2508-C9A09D873475}"/>
            </a:ext>
          </a:extLst>
        </xdr:cNvPr>
        <xdr:cNvSpPr/>
      </xdr:nvSpPr>
      <xdr:spPr>
        <a:xfrm>
          <a:off x="83820" y="1127760"/>
          <a:ext cx="3566160" cy="10820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100484</xdr:colOff>
      <xdr:row>6</xdr:row>
      <xdr:rowOff>53340</xdr:rowOff>
    </xdr:from>
    <xdr:to>
      <xdr:col>2</xdr:col>
      <xdr:colOff>320040</xdr:colOff>
      <xdr:row>12</xdr:row>
      <xdr:rowOff>0</xdr:rowOff>
    </xdr:to>
    <xdr:sp macro="" textlink="">
      <xdr:nvSpPr>
        <xdr:cNvPr id="5" name="Rectangle: Rounded Corners 4">
          <a:extLst>
            <a:ext uri="{FF2B5EF4-FFF2-40B4-BE49-F238E27FC236}">
              <a16:creationId xmlns:a16="http://schemas.microsoft.com/office/drawing/2014/main" id="{7114268E-3F77-7037-BC4D-5A30C606C852}"/>
            </a:ext>
          </a:extLst>
        </xdr:cNvPr>
        <xdr:cNvSpPr/>
      </xdr:nvSpPr>
      <xdr:spPr>
        <a:xfrm>
          <a:off x="100484" y="1158659"/>
          <a:ext cx="1442105" cy="10519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226088</xdr:colOff>
      <xdr:row>6</xdr:row>
      <xdr:rowOff>45720</xdr:rowOff>
    </xdr:from>
    <xdr:to>
      <xdr:col>12</xdr:col>
      <xdr:colOff>284704</xdr:colOff>
      <xdr:row>12</xdr:row>
      <xdr:rowOff>7620</xdr:rowOff>
    </xdr:to>
    <xdr:sp macro="" textlink="">
      <xdr:nvSpPr>
        <xdr:cNvPr id="6" name="Rectangle: Rounded Corners 5">
          <a:extLst>
            <a:ext uri="{FF2B5EF4-FFF2-40B4-BE49-F238E27FC236}">
              <a16:creationId xmlns:a16="http://schemas.microsoft.com/office/drawing/2014/main" id="{45365BB5-55D8-4598-A8E1-537D601594C1}"/>
            </a:ext>
          </a:extLst>
        </xdr:cNvPr>
        <xdr:cNvSpPr/>
      </xdr:nvSpPr>
      <xdr:spPr>
        <a:xfrm>
          <a:off x="3893736" y="1151039"/>
          <a:ext cx="3726265" cy="106721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8372</xdr:colOff>
      <xdr:row>6</xdr:row>
      <xdr:rowOff>25121</xdr:rowOff>
    </xdr:from>
    <xdr:to>
      <xdr:col>18</xdr:col>
      <xdr:colOff>501411</xdr:colOff>
      <xdr:row>12</xdr:row>
      <xdr:rowOff>8374</xdr:rowOff>
    </xdr:to>
    <xdr:sp macro="" textlink="">
      <xdr:nvSpPr>
        <xdr:cNvPr id="7" name="Rectangle: Rounded Corners 6">
          <a:extLst>
            <a:ext uri="{FF2B5EF4-FFF2-40B4-BE49-F238E27FC236}">
              <a16:creationId xmlns:a16="http://schemas.microsoft.com/office/drawing/2014/main" id="{70E989CD-DF7F-4AC2-8224-213754E88D3A}"/>
            </a:ext>
          </a:extLst>
        </xdr:cNvPr>
        <xdr:cNvSpPr/>
      </xdr:nvSpPr>
      <xdr:spPr>
        <a:xfrm>
          <a:off x="7954943" y="1130440"/>
          <a:ext cx="3549413" cy="108857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225418</xdr:colOff>
      <xdr:row>6</xdr:row>
      <xdr:rowOff>54428</xdr:rowOff>
    </xdr:from>
    <xdr:to>
      <xdr:col>8</xdr:col>
      <xdr:colOff>438777</xdr:colOff>
      <xdr:row>12</xdr:row>
      <xdr:rowOff>1088</xdr:rowOff>
    </xdr:to>
    <xdr:sp macro="" textlink="">
      <xdr:nvSpPr>
        <xdr:cNvPr id="8" name="Rectangle: Rounded Corners 7">
          <a:extLst>
            <a:ext uri="{FF2B5EF4-FFF2-40B4-BE49-F238E27FC236}">
              <a16:creationId xmlns:a16="http://schemas.microsoft.com/office/drawing/2014/main" id="{389138BF-B668-4B34-BE92-4ED21292A8D9}"/>
            </a:ext>
          </a:extLst>
        </xdr:cNvPr>
        <xdr:cNvSpPr/>
      </xdr:nvSpPr>
      <xdr:spPr>
        <a:xfrm>
          <a:off x="3893066" y="1159747"/>
          <a:ext cx="1435909" cy="10519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16748</xdr:colOff>
      <xdr:row>6</xdr:row>
      <xdr:rowOff>50241</xdr:rowOff>
    </xdr:from>
    <xdr:to>
      <xdr:col>15</xdr:col>
      <xdr:colOff>191589</xdr:colOff>
      <xdr:row>11</xdr:row>
      <xdr:rowOff>175845</xdr:rowOff>
    </xdr:to>
    <xdr:sp macro="" textlink="">
      <xdr:nvSpPr>
        <xdr:cNvPr id="9" name="Rectangle: Rounded Corners 8">
          <a:extLst>
            <a:ext uri="{FF2B5EF4-FFF2-40B4-BE49-F238E27FC236}">
              <a16:creationId xmlns:a16="http://schemas.microsoft.com/office/drawing/2014/main" id="{94FF5EB6-74B5-4EA4-8E6D-3588A0E0C817}"/>
            </a:ext>
          </a:extLst>
        </xdr:cNvPr>
        <xdr:cNvSpPr/>
      </xdr:nvSpPr>
      <xdr:spPr>
        <a:xfrm>
          <a:off x="7963319" y="1155560"/>
          <a:ext cx="1397391" cy="104670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418682</xdr:colOff>
      <xdr:row>6</xdr:row>
      <xdr:rowOff>175846</xdr:rowOff>
    </xdr:from>
    <xdr:to>
      <xdr:col>5</xdr:col>
      <xdr:colOff>527538</xdr:colOff>
      <xdr:row>10</xdr:row>
      <xdr:rowOff>83736</xdr:rowOff>
    </xdr:to>
    <xdr:sp macro="" textlink="">
      <xdr:nvSpPr>
        <xdr:cNvPr id="10" name="TextBox 9">
          <a:extLst>
            <a:ext uri="{FF2B5EF4-FFF2-40B4-BE49-F238E27FC236}">
              <a16:creationId xmlns:a16="http://schemas.microsoft.com/office/drawing/2014/main" id="{042D5A39-9F34-1248-FABB-857A82DF78A8}"/>
            </a:ext>
          </a:extLst>
        </xdr:cNvPr>
        <xdr:cNvSpPr txBox="1"/>
      </xdr:nvSpPr>
      <xdr:spPr>
        <a:xfrm>
          <a:off x="1641231" y="1281165"/>
          <a:ext cx="1942681" cy="6447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Total Expences</a:t>
          </a:r>
        </a:p>
      </xdr:txBody>
    </xdr:sp>
    <xdr:clientData/>
  </xdr:twoCellAnchor>
  <xdr:twoCellAnchor>
    <xdr:from>
      <xdr:col>3</xdr:col>
      <xdr:colOff>242835</xdr:colOff>
      <xdr:row>9</xdr:row>
      <xdr:rowOff>0</xdr:rowOff>
    </xdr:from>
    <xdr:to>
      <xdr:col>4</xdr:col>
      <xdr:colOff>376813</xdr:colOff>
      <xdr:row>10</xdr:row>
      <xdr:rowOff>133978</xdr:rowOff>
    </xdr:to>
    <xdr:sp macro="" textlink="">
      <xdr:nvSpPr>
        <xdr:cNvPr id="11" name="TextBox 10">
          <a:extLst>
            <a:ext uri="{FF2B5EF4-FFF2-40B4-BE49-F238E27FC236}">
              <a16:creationId xmlns:a16="http://schemas.microsoft.com/office/drawing/2014/main" id="{AA8B6C4A-52B3-B01F-9F88-619FBFFA4E83}"/>
            </a:ext>
          </a:extLst>
        </xdr:cNvPr>
        <xdr:cNvSpPr txBox="1"/>
      </xdr:nvSpPr>
      <xdr:spPr>
        <a:xfrm>
          <a:off x="2076659" y="1657978"/>
          <a:ext cx="745253" cy="3181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283000</a:t>
          </a:r>
        </a:p>
      </xdr:txBody>
    </xdr:sp>
    <xdr:clientData/>
  </xdr:twoCellAnchor>
  <xdr:twoCellAnchor>
    <xdr:from>
      <xdr:col>9</xdr:col>
      <xdr:colOff>318197</xdr:colOff>
      <xdr:row>7</xdr:row>
      <xdr:rowOff>8374</xdr:rowOff>
    </xdr:from>
    <xdr:to>
      <xdr:col>11</xdr:col>
      <xdr:colOff>301451</xdr:colOff>
      <xdr:row>9</xdr:row>
      <xdr:rowOff>33495</xdr:rowOff>
    </xdr:to>
    <xdr:sp macro="" textlink="">
      <xdr:nvSpPr>
        <xdr:cNvPr id="12" name="TextBox 11">
          <a:extLst>
            <a:ext uri="{FF2B5EF4-FFF2-40B4-BE49-F238E27FC236}">
              <a16:creationId xmlns:a16="http://schemas.microsoft.com/office/drawing/2014/main" id="{7FE8CE86-0838-40BB-1BCD-30DA5704B8D8}"/>
            </a:ext>
          </a:extLst>
        </xdr:cNvPr>
        <xdr:cNvSpPr txBox="1"/>
      </xdr:nvSpPr>
      <xdr:spPr>
        <a:xfrm>
          <a:off x="5819670" y="1297912"/>
          <a:ext cx="1205803" cy="3935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Average</a:t>
          </a:r>
        </a:p>
      </xdr:txBody>
    </xdr:sp>
    <xdr:clientData/>
  </xdr:twoCellAnchor>
  <xdr:twoCellAnchor>
    <xdr:from>
      <xdr:col>9</xdr:col>
      <xdr:colOff>376813</xdr:colOff>
      <xdr:row>9</xdr:row>
      <xdr:rowOff>50243</xdr:rowOff>
    </xdr:from>
    <xdr:to>
      <xdr:col>10</xdr:col>
      <xdr:colOff>577780</xdr:colOff>
      <xdr:row>10</xdr:row>
      <xdr:rowOff>125605</xdr:rowOff>
    </xdr:to>
    <xdr:sp macro="" textlink="">
      <xdr:nvSpPr>
        <xdr:cNvPr id="13" name="TextBox 12">
          <a:extLst>
            <a:ext uri="{FF2B5EF4-FFF2-40B4-BE49-F238E27FC236}">
              <a16:creationId xmlns:a16="http://schemas.microsoft.com/office/drawing/2014/main" id="{DD20E13C-F08A-7D5F-AB55-2965B6FFB580}"/>
            </a:ext>
          </a:extLst>
        </xdr:cNvPr>
        <xdr:cNvSpPr txBox="1"/>
      </xdr:nvSpPr>
      <xdr:spPr>
        <a:xfrm>
          <a:off x="5878286" y="1708221"/>
          <a:ext cx="812241" cy="2595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4796.6101</a:t>
          </a:r>
        </a:p>
      </xdr:txBody>
    </xdr:sp>
    <xdr:clientData/>
  </xdr:twoCellAnchor>
  <xdr:twoCellAnchor>
    <xdr:from>
      <xdr:col>15</xdr:col>
      <xdr:colOff>267956</xdr:colOff>
      <xdr:row>7</xdr:row>
      <xdr:rowOff>0</xdr:rowOff>
    </xdr:from>
    <xdr:to>
      <xdr:col>18</xdr:col>
      <xdr:colOff>427055</xdr:colOff>
      <xdr:row>9</xdr:row>
      <xdr:rowOff>58615</xdr:rowOff>
    </xdr:to>
    <xdr:sp macro="" textlink="">
      <xdr:nvSpPr>
        <xdr:cNvPr id="14" name="TextBox 13">
          <a:extLst>
            <a:ext uri="{FF2B5EF4-FFF2-40B4-BE49-F238E27FC236}">
              <a16:creationId xmlns:a16="http://schemas.microsoft.com/office/drawing/2014/main" id="{798475BA-03BF-5724-CBED-41A83D29DD66}"/>
            </a:ext>
          </a:extLst>
        </xdr:cNvPr>
        <xdr:cNvSpPr txBox="1"/>
      </xdr:nvSpPr>
      <xdr:spPr>
        <a:xfrm>
          <a:off x="9437077" y="1289538"/>
          <a:ext cx="1992923" cy="4270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Avg expanses</a:t>
          </a:r>
          <a:r>
            <a:rPr lang="en-IN" sz="1400" b="1" baseline="0"/>
            <a:t> by month</a:t>
          </a:r>
          <a:endParaRPr lang="en-IN" sz="1400" b="1"/>
        </a:p>
      </xdr:txBody>
    </xdr:sp>
    <xdr:clientData/>
  </xdr:twoCellAnchor>
  <xdr:twoCellAnchor>
    <xdr:from>
      <xdr:col>16</xdr:col>
      <xdr:colOff>259582</xdr:colOff>
      <xdr:row>8</xdr:row>
      <xdr:rowOff>142352</xdr:rowOff>
    </xdr:from>
    <xdr:to>
      <xdr:col>17</xdr:col>
      <xdr:colOff>209341</xdr:colOff>
      <xdr:row>10</xdr:row>
      <xdr:rowOff>66989</xdr:rowOff>
    </xdr:to>
    <xdr:sp macro="" textlink="">
      <xdr:nvSpPr>
        <xdr:cNvPr id="15" name="TextBox 14">
          <a:extLst>
            <a:ext uri="{FF2B5EF4-FFF2-40B4-BE49-F238E27FC236}">
              <a16:creationId xmlns:a16="http://schemas.microsoft.com/office/drawing/2014/main" id="{B9585980-773B-B75D-0FCB-03860F7DEED1}"/>
            </a:ext>
          </a:extLst>
        </xdr:cNvPr>
        <xdr:cNvSpPr txBox="1"/>
      </xdr:nvSpPr>
      <xdr:spPr>
        <a:xfrm>
          <a:off x="10039978" y="1616110"/>
          <a:ext cx="561033" cy="2930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4780</a:t>
          </a:r>
        </a:p>
      </xdr:txBody>
    </xdr:sp>
    <xdr:clientData/>
  </xdr:twoCellAnchor>
  <xdr:twoCellAnchor editAs="oneCell">
    <xdr:from>
      <xdr:col>0</xdr:col>
      <xdr:colOff>0</xdr:colOff>
      <xdr:row>13</xdr:row>
      <xdr:rowOff>0</xdr:rowOff>
    </xdr:from>
    <xdr:to>
      <xdr:col>2</xdr:col>
      <xdr:colOff>431337</xdr:colOff>
      <xdr:row>28</xdr:row>
      <xdr:rowOff>102862</xdr:rowOff>
    </xdr:to>
    <mc:AlternateContent xmlns:mc="http://schemas.openxmlformats.org/markup-compatibility/2006">
      <mc:Choice xmlns:a14="http://schemas.microsoft.com/office/drawing/2010/main" Requires="a14">
        <xdr:graphicFrame macro="">
          <xdr:nvGraphicFramePr>
            <xdr:cNvPr id="16" name="Discription 1">
              <a:extLst>
                <a:ext uri="{FF2B5EF4-FFF2-40B4-BE49-F238E27FC236}">
                  <a16:creationId xmlns:a16="http://schemas.microsoft.com/office/drawing/2014/main" id="{0374651F-0B33-42D5-919D-64D90A0E3E2F}"/>
                </a:ext>
              </a:extLst>
            </xdr:cNvPr>
            <xdr:cNvGraphicFramePr/>
          </xdr:nvGraphicFramePr>
          <xdr:xfrm>
            <a:off x="0" y="0"/>
            <a:ext cx="0" cy="0"/>
          </xdr:xfrm>
          <a:graphic>
            <a:graphicData uri="http://schemas.microsoft.com/office/drawing/2010/slicer">
              <sle:slicer xmlns:sle="http://schemas.microsoft.com/office/drawing/2010/slicer" name="Discription 1"/>
            </a:graphicData>
          </a:graphic>
        </xdr:graphicFrame>
      </mc:Choice>
      <mc:Fallback>
        <xdr:sp macro="" textlink="">
          <xdr:nvSpPr>
            <xdr:cNvPr id="0" name=""/>
            <xdr:cNvSpPr>
              <a:spLocks noTextEdit="1"/>
            </xdr:cNvSpPr>
          </xdr:nvSpPr>
          <xdr:spPr>
            <a:xfrm>
              <a:off x="0" y="2394857"/>
              <a:ext cx="1653886" cy="2866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0</xdr:rowOff>
    </xdr:from>
    <xdr:to>
      <xdr:col>2</xdr:col>
      <xdr:colOff>460550</xdr:colOff>
      <xdr:row>44</xdr:row>
      <xdr:rowOff>148536</xdr:rowOff>
    </xdr:to>
    <mc:AlternateContent xmlns:mc="http://schemas.openxmlformats.org/markup-compatibility/2006">
      <mc:Choice xmlns:a14="http://schemas.microsoft.com/office/drawing/2010/main" Requires="a14">
        <xdr:graphicFrame macro="">
          <xdr:nvGraphicFramePr>
            <xdr:cNvPr id="17" name="Month 1">
              <a:extLst>
                <a:ext uri="{FF2B5EF4-FFF2-40B4-BE49-F238E27FC236}">
                  <a16:creationId xmlns:a16="http://schemas.microsoft.com/office/drawing/2014/main" id="{7733F692-5429-4F0D-AAFF-0AB301EEEFA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0" y="5526593"/>
              <a:ext cx="1683099" cy="27276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46</xdr:row>
      <xdr:rowOff>0</xdr:rowOff>
    </xdr:from>
    <xdr:to>
      <xdr:col>2</xdr:col>
      <xdr:colOff>171564</xdr:colOff>
      <xdr:row>57</xdr:row>
      <xdr:rowOff>69083</xdr:rowOff>
    </xdr:to>
    <mc:AlternateContent xmlns:mc="http://schemas.openxmlformats.org/markup-compatibility/2006">
      <mc:Choice xmlns:a14="http://schemas.microsoft.com/office/drawing/2010/main" Requires="a14">
        <xdr:graphicFrame macro="">
          <xdr:nvGraphicFramePr>
            <xdr:cNvPr id="18" name="Category 1">
              <a:extLst>
                <a:ext uri="{FF2B5EF4-FFF2-40B4-BE49-F238E27FC236}">
                  <a16:creationId xmlns:a16="http://schemas.microsoft.com/office/drawing/2014/main" id="{C07E3028-8DE6-43BF-BF1F-7940C73D7E9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8474110"/>
              <a:ext cx="1394113"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552660</xdr:colOff>
      <xdr:row>13</xdr:row>
      <xdr:rowOff>25121</xdr:rowOff>
    </xdr:from>
    <xdr:to>
      <xdr:col>11</xdr:col>
      <xdr:colOff>586154</xdr:colOff>
      <xdr:row>38</xdr:row>
      <xdr:rowOff>0</xdr:rowOff>
    </xdr:to>
    <xdr:sp macro="" textlink="">
      <xdr:nvSpPr>
        <xdr:cNvPr id="19" name="Rectangle 18">
          <a:extLst>
            <a:ext uri="{FF2B5EF4-FFF2-40B4-BE49-F238E27FC236}">
              <a16:creationId xmlns:a16="http://schemas.microsoft.com/office/drawing/2014/main" id="{4F5C6DA6-BDA8-2833-5E93-D47ABCFF3274}"/>
            </a:ext>
          </a:extLst>
        </xdr:cNvPr>
        <xdr:cNvSpPr/>
      </xdr:nvSpPr>
      <xdr:spPr>
        <a:xfrm>
          <a:off x="1775209" y="2419978"/>
          <a:ext cx="5534967" cy="4580374"/>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552661</xdr:colOff>
      <xdr:row>13</xdr:row>
      <xdr:rowOff>25121</xdr:rowOff>
    </xdr:from>
    <xdr:to>
      <xdr:col>11</xdr:col>
      <xdr:colOff>577780</xdr:colOff>
      <xdr:row>37</xdr:row>
      <xdr:rowOff>159098</xdr:rowOff>
    </xdr:to>
    <xdr:graphicFrame macro="">
      <xdr:nvGraphicFramePr>
        <xdr:cNvPr id="20" name="Chart 19">
          <a:extLst>
            <a:ext uri="{FF2B5EF4-FFF2-40B4-BE49-F238E27FC236}">
              <a16:creationId xmlns:a16="http://schemas.microsoft.com/office/drawing/2014/main" id="{12F7F8F6-93CE-4274-9DCA-06DC3E0B5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200966</xdr:colOff>
      <xdr:row>12</xdr:row>
      <xdr:rowOff>175848</xdr:rowOff>
    </xdr:from>
    <xdr:to>
      <xdr:col>21</xdr:col>
      <xdr:colOff>92109</xdr:colOff>
      <xdr:row>38</xdr:row>
      <xdr:rowOff>25121</xdr:rowOff>
    </xdr:to>
    <xdr:sp macro="" textlink="">
      <xdr:nvSpPr>
        <xdr:cNvPr id="21" name="Rectangle 20">
          <a:extLst>
            <a:ext uri="{FF2B5EF4-FFF2-40B4-BE49-F238E27FC236}">
              <a16:creationId xmlns:a16="http://schemas.microsoft.com/office/drawing/2014/main" id="{9A0D1D54-34C0-BD4F-7DEA-84C33D911313}"/>
            </a:ext>
          </a:extLst>
        </xdr:cNvPr>
        <xdr:cNvSpPr/>
      </xdr:nvSpPr>
      <xdr:spPr>
        <a:xfrm>
          <a:off x="7536263" y="2386485"/>
          <a:ext cx="5392615" cy="4638988"/>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217711</xdr:colOff>
      <xdr:row>13</xdr:row>
      <xdr:rowOff>8374</xdr:rowOff>
    </xdr:from>
    <xdr:to>
      <xdr:col>21</xdr:col>
      <xdr:colOff>150723</xdr:colOff>
      <xdr:row>38</xdr:row>
      <xdr:rowOff>0</xdr:rowOff>
    </xdr:to>
    <xdr:graphicFrame macro="">
      <xdr:nvGraphicFramePr>
        <xdr:cNvPr id="22" name="Chart 21">
          <a:extLst>
            <a:ext uri="{FF2B5EF4-FFF2-40B4-BE49-F238E27FC236}">
              <a16:creationId xmlns:a16="http://schemas.microsoft.com/office/drawing/2014/main" id="{06DD0E8E-BBA6-4B6B-9056-34830E79B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519166</xdr:colOff>
      <xdr:row>38</xdr:row>
      <xdr:rowOff>159098</xdr:rowOff>
    </xdr:from>
    <xdr:to>
      <xdr:col>11</xdr:col>
      <xdr:colOff>535913</xdr:colOff>
      <xdr:row>63</xdr:row>
      <xdr:rowOff>159099</xdr:rowOff>
    </xdr:to>
    <xdr:sp macro="" textlink="">
      <xdr:nvSpPr>
        <xdr:cNvPr id="23" name="Rectangle 22">
          <a:extLst>
            <a:ext uri="{FF2B5EF4-FFF2-40B4-BE49-F238E27FC236}">
              <a16:creationId xmlns:a16="http://schemas.microsoft.com/office/drawing/2014/main" id="{675BCA31-2141-8E00-CF18-C1FAEB3178E9}"/>
            </a:ext>
          </a:extLst>
        </xdr:cNvPr>
        <xdr:cNvSpPr/>
      </xdr:nvSpPr>
      <xdr:spPr>
        <a:xfrm>
          <a:off x="1741715" y="7159450"/>
          <a:ext cx="5518220" cy="4605495"/>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83737</xdr:colOff>
      <xdr:row>38</xdr:row>
      <xdr:rowOff>133978</xdr:rowOff>
    </xdr:from>
    <xdr:to>
      <xdr:col>12</xdr:col>
      <xdr:colOff>251208</xdr:colOff>
      <xdr:row>61</xdr:row>
      <xdr:rowOff>108857</xdr:rowOff>
    </xdr:to>
    <xdr:graphicFrame macro="">
      <xdr:nvGraphicFramePr>
        <xdr:cNvPr id="24" name="Chart 23">
          <a:extLst>
            <a:ext uri="{FF2B5EF4-FFF2-40B4-BE49-F238E27FC236}">
              <a16:creationId xmlns:a16="http://schemas.microsoft.com/office/drawing/2014/main" id="{EFD5EF27-EDAD-4B0B-B522-23C99E6F4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159099</xdr:colOff>
      <xdr:row>38</xdr:row>
      <xdr:rowOff>150726</xdr:rowOff>
    </xdr:from>
    <xdr:to>
      <xdr:col>21</xdr:col>
      <xdr:colOff>334945</xdr:colOff>
      <xdr:row>63</xdr:row>
      <xdr:rowOff>175846</xdr:rowOff>
    </xdr:to>
    <xdr:sp macro="" textlink="">
      <xdr:nvSpPr>
        <xdr:cNvPr id="25" name="Rectangle 24">
          <a:extLst>
            <a:ext uri="{FF2B5EF4-FFF2-40B4-BE49-F238E27FC236}">
              <a16:creationId xmlns:a16="http://schemas.microsoft.com/office/drawing/2014/main" id="{CCFA3DB8-8FF6-8257-E515-BBB44B538E4C}"/>
            </a:ext>
          </a:extLst>
        </xdr:cNvPr>
        <xdr:cNvSpPr/>
      </xdr:nvSpPr>
      <xdr:spPr>
        <a:xfrm>
          <a:off x="7494396" y="7151078"/>
          <a:ext cx="5677318" cy="4630614"/>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159100</xdr:colOff>
      <xdr:row>38</xdr:row>
      <xdr:rowOff>150726</xdr:rowOff>
    </xdr:from>
    <xdr:to>
      <xdr:col>22</xdr:col>
      <xdr:colOff>8374</xdr:colOff>
      <xdr:row>63</xdr:row>
      <xdr:rowOff>175846</xdr:rowOff>
    </xdr:to>
    <xdr:graphicFrame macro="">
      <xdr:nvGraphicFramePr>
        <xdr:cNvPr id="26" name="Chart 25">
          <a:extLst>
            <a:ext uri="{FF2B5EF4-FFF2-40B4-BE49-F238E27FC236}">
              <a16:creationId xmlns:a16="http://schemas.microsoft.com/office/drawing/2014/main" id="{ACF451BA-8CD2-4EC7-A686-2698AA96E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83737</xdr:colOff>
      <xdr:row>6</xdr:row>
      <xdr:rowOff>150725</xdr:rowOff>
    </xdr:from>
    <xdr:to>
      <xdr:col>14</xdr:col>
      <xdr:colOff>386862</xdr:colOff>
      <xdr:row>12</xdr:row>
      <xdr:rowOff>41870</xdr:rowOff>
    </xdr:to>
    <xdr:pic>
      <xdr:nvPicPr>
        <xdr:cNvPr id="28" name="Graphic 27" descr="Rupee outline">
          <a:extLst>
            <a:ext uri="{FF2B5EF4-FFF2-40B4-BE49-F238E27FC236}">
              <a16:creationId xmlns:a16="http://schemas.microsoft.com/office/drawing/2014/main" id="{75FCAD11-A89C-B052-F711-CAB557E7DBE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030308" y="1256044"/>
          <a:ext cx="914400" cy="996463"/>
        </a:xfrm>
        <a:prstGeom prst="rect">
          <a:avLst/>
        </a:prstGeom>
      </xdr:spPr>
    </xdr:pic>
    <xdr:clientData/>
  </xdr:twoCellAnchor>
  <xdr:twoCellAnchor editAs="oneCell">
    <xdr:from>
      <xdr:col>0</xdr:col>
      <xdr:colOff>251208</xdr:colOff>
      <xdr:row>6</xdr:row>
      <xdr:rowOff>108856</xdr:rowOff>
    </xdr:from>
    <xdr:to>
      <xdr:col>1</xdr:col>
      <xdr:colOff>554333</xdr:colOff>
      <xdr:row>11</xdr:row>
      <xdr:rowOff>102157</xdr:rowOff>
    </xdr:to>
    <xdr:pic>
      <xdr:nvPicPr>
        <xdr:cNvPr id="32" name="Graphic 31" descr="Gold bars with solid fill">
          <a:extLst>
            <a:ext uri="{FF2B5EF4-FFF2-40B4-BE49-F238E27FC236}">
              <a16:creationId xmlns:a16="http://schemas.microsoft.com/office/drawing/2014/main" id="{EED76F0C-ACF0-1F47-09D1-43063F2624A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51208" y="1214175"/>
          <a:ext cx="914400" cy="914400"/>
        </a:xfrm>
        <a:prstGeom prst="rect">
          <a:avLst/>
        </a:prstGeom>
      </xdr:spPr>
    </xdr:pic>
    <xdr:clientData/>
  </xdr:twoCellAnchor>
  <xdr:twoCellAnchor editAs="oneCell">
    <xdr:from>
      <xdr:col>7</xdr:col>
      <xdr:colOff>49517</xdr:colOff>
      <xdr:row>6</xdr:row>
      <xdr:rowOff>149999</xdr:rowOff>
    </xdr:from>
    <xdr:to>
      <xdr:col>8</xdr:col>
      <xdr:colOff>352642</xdr:colOff>
      <xdr:row>11</xdr:row>
      <xdr:rowOff>143300</xdr:rowOff>
    </xdr:to>
    <xdr:pic>
      <xdr:nvPicPr>
        <xdr:cNvPr id="34" name="Graphic 33" descr="Coins outline">
          <a:extLst>
            <a:ext uri="{FF2B5EF4-FFF2-40B4-BE49-F238E27FC236}">
              <a16:creationId xmlns:a16="http://schemas.microsoft.com/office/drawing/2014/main" id="{B90EDBB6-07D0-8F0A-11DD-E5CC5FD41AF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328440" y="1255318"/>
          <a:ext cx="914400" cy="914400"/>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cdr:x>
      <cdr:y>0</cdr:y>
    </cdr:from>
    <cdr:to>
      <cdr:x>0</cdr:x>
      <cdr:y>0</cdr:y>
    </cdr:to>
    <cdr:pic>
      <cdr:nvPicPr>
        <cdr:cNvPr id="13" name="Graphic 12" descr="Gold bars with solid fill">
          <a:extLst xmlns:a="http://schemas.openxmlformats.org/drawingml/2006/main">
            <a:ext uri="{FF2B5EF4-FFF2-40B4-BE49-F238E27FC236}">
              <a16:creationId xmlns:a16="http://schemas.microsoft.com/office/drawing/2014/main" id="{E78AA1E0-B667-22D2-03B5-C22733C487C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rot="213919" flipV="1">
          <a:off x="0" y="0"/>
          <a:ext cx="0" cy="0"/>
        </a:xfrm>
        <a:prstGeom xmlns:a="http://schemas.openxmlformats.org/drawingml/2006/main" prst="rect">
          <a:avLst/>
        </a:prstGeom>
      </cdr:spPr>
    </cdr:pic>
  </cdr:relSizeAnchor>
  <cdr:relSizeAnchor xmlns:cdr="http://schemas.openxmlformats.org/drawingml/2006/chartDrawing">
    <cdr:from>
      <cdr:x>0</cdr:x>
      <cdr:y>0</cdr:y>
    </cdr:from>
    <cdr:to>
      <cdr:x>0</cdr:x>
      <cdr:y>0</cdr:y>
    </cdr:to>
    <cdr:pic>
      <cdr:nvPicPr>
        <cdr:cNvPr id="15" name="Graphic 14" descr="Coins outline">
          <a:extLst xmlns:a="http://schemas.openxmlformats.org/drawingml/2006/main">
            <a:ext uri="{FF2B5EF4-FFF2-40B4-BE49-F238E27FC236}">
              <a16:creationId xmlns:a16="http://schemas.microsoft.com/office/drawing/2014/main" id="{E2B8F043-6BDC-35C6-88CE-3EEC6708F90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flipV="1">
          <a:off x="-7553008" y="-3207099"/>
          <a:ext cx="0" cy="0"/>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diparthi sujanya suji" refreshedDate="46042.766486689812" createdVersion="8" refreshedVersion="8" minRefreshableVersion="3" recordCount="60" xr:uid="{294BBA8C-FDE1-4510-A3EC-E8EE67F78544}">
  <cacheSource type="worksheet">
    <worksheetSource ref="A1:E61" sheet="Sheet2"/>
  </cacheSource>
  <cacheFields count="7">
    <cacheField name="Date" numFmtId="14">
      <sharedItems containsSemiMixedTypes="0" containsNonDate="0" containsDate="1" containsString="0" minDate="2025-01-05T00:00:00" maxDate="2025-12-27T00:00:00" count="60">
        <d v="2025-01-05T00:00:00"/>
        <d v="2025-01-08T00:00:00"/>
        <d v="2025-01-12T00:00:00"/>
        <d v="2025-01-18T00:00:00"/>
        <d v="2025-01-25T00:00:00"/>
        <d v="2025-02-05T00:00:00"/>
        <d v="2025-02-09T00:00:00"/>
        <d v="2025-02-12T00:00:00"/>
        <d v="2025-02-18T00:00:00"/>
        <d v="2025-02-24T00:00:00"/>
        <d v="2025-03-05T00:00:00"/>
        <d v="2025-03-08T00:00:00"/>
        <d v="2025-03-14T00:00:00"/>
        <d v="2025-03-20T00:00:00"/>
        <d v="2025-03-26T00:00:00"/>
        <d v="2025-04-05T00:00:00"/>
        <d v="2025-04-09T00:00:00"/>
        <d v="2025-04-13T00:00:00"/>
        <d v="2025-04-19T00:00:00"/>
        <d v="2025-04-25T00:00:00"/>
        <d v="2025-05-05T00:00:00"/>
        <d v="2025-05-08T00:00:00"/>
        <d v="2025-05-14T00:00:00"/>
        <d v="2025-05-20T00:00:00"/>
        <d v="2025-05-26T00:00:00"/>
        <d v="2025-06-05T00:00:00"/>
        <d v="2025-06-09T00:00:00"/>
        <d v="2025-06-13T00:00:00"/>
        <d v="2025-06-18T00:00:00"/>
        <d v="2025-06-25T00:00:00"/>
        <d v="2025-07-05T00:00:00"/>
        <d v="2025-07-08T00:00:00"/>
        <d v="2025-07-12T00:00:00"/>
        <d v="2025-07-19T00:00:00"/>
        <d v="2025-07-26T00:00:00"/>
        <d v="2025-08-05T00:00:00"/>
        <d v="2025-08-09T00:00:00"/>
        <d v="2025-08-14T00:00:00"/>
        <d v="2025-08-20T00:00:00"/>
        <d v="2025-08-26T00:00:00"/>
        <d v="2025-09-05T00:00:00"/>
        <d v="2025-09-08T00:00:00"/>
        <d v="2025-09-13T00:00:00"/>
        <d v="2025-09-18T00:00:00"/>
        <d v="2025-09-25T00:00:00"/>
        <d v="2025-10-05T00:00:00"/>
        <d v="2025-10-09T00:00:00"/>
        <d v="2025-10-14T00:00:00"/>
        <d v="2025-10-20T00:00:00"/>
        <d v="2025-10-26T00:00:00"/>
        <d v="2025-11-05T00:00:00"/>
        <d v="2025-11-08T00:00:00"/>
        <d v="2025-11-13T00:00:00"/>
        <d v="2025-11-19T00:00:00"/>
        <d v="2025-11-25T00:00:00"/>
        <d v="2025-12-05T00:00:00"/>
        <d v="2025-12-09T00:00:00"/>
        <d v="2025-12-14T00:00:00"/>
        <d v="2025-12-20T00:00:00"/>
        <d v="2025-12-26T00:00:00"/>
      </sharedItems>
      <fieldGroup par="6"/>
    </cacheField>
    <cacheField name="Month" numFmtId="0">
      <sharedItems count="12">
        <s v="January"/>
        <s v="February"/>
        <s v="March"/>
        <s v="April"/>
        <s v="May"/>
        <s v="June"/>
        <s v="July"/>
        <s v="August"/>
        <s v="September"/>
        <s v="October"/>
        <s v="November"/>
        <s v="December"/>
      </sharedItems>
    </cacheField>
    <cacheField name="Category" numFmtId="0">
      <sharedItems count="5">
        <s v="Rent"/>
        <s v="Food"/>
        <s v="Transport"/>
        <s v="Entertainment"/>
        <s v="Utilities"/>
      </sharedItems>
    </cacheField>
    <cacheField name="Discription" numFmtId="0">
      <sharedItems count="14">
        <s v="House Rent"/>
        <s v="Groceries"/>
        <s v="Bus&amp;Fuel"/>
        <s v="Movies"/>
        <s v="Electricity bill"/>
        <s v="Water&amp;Power"/>
        <s v="Bus pass"/>
        <s v="Outgoing"/>
        <s v="Fuel"/>
        <s v="Shopping"/>
        <s v="Trip"/>
        <s v="Festival Shopping"/>
        <s v="Travel"/>
        <s v="Year-End Party"/>
      </sharedItems>
    </cacheField>
    <cacheField name="Actual amount" numFmtId="0">
      <sharedItems containsSemiMixedTypes="0" containsString="0" containsNumber="1" containsInteger="1" minValue="1500" maxValue="12000"/>
    </cacheField>
    <cacheField name="Days (Date)" numFmtId="0" databaseField="0">
      <fieldGroup base="0">
        <rangePr groupBy="days" startDate="2025-01-05T00:00:00" endDate="2025-12-27T00:00:00"/>
        <groupItems count="368">
          <s v="&lt;05-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7-12-2025"/>
        </groupItems>
      </fieldGroup>
    </cacheField>
    <cacheField name="Months (Date)" numFmtId="0" databaseField="0">
      <fieldGroup base="0">
        <rangePr groupBy="months" startDate="2025-01-05T00:00:00" endDate="2025-12-27T00:00:00"/>
        <groupItems count="14">
          <s v="&lt;05-01-2025"/>
          <s v="Jan"/>
          <s v="Feb"/>
          <s v="Mar"/>
          <s v="Apr"/>
          <s v="May"/>
          <s v="Jun"/>
          <s v="Jul"/>
          <s v="Aug"/>
          <s v="Sep"/>
          <s v="Oct"/>
          <s v="Nov"/>
          <s v="Dec"/>
          <s v="&gt;27-12-2025"/>
        </groupItems>
      </fieldGroup>
    </cacheField>
  </cacheFields>
  <extLst>
    <ext xmlns:x14="http://schemas.microsoft.com/office/spreadsheetml/2009/9/main" uri="{725AE2AE-9491-48be-B2B4-4EB974FC3084}">
      <x14:pivotCacheDefinition pivotCacheId="17082992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x v="0"/>
    <x v="0"/>
    <n v="12000"/>
  </r>
  <r>
    <x v="1"/>
    <x v="0"/>
    <x v="1"/>
    <x v="1"/>
    <n v="4200"/>
  </r>
  <r>
    <x v="2"/>
    <x v="0"/>
    <x v="2"/>
    <x v="2"/>
    <n v="2800"/>
  </r>
  <r>
    <x v="3"/>
    <x v="0"/>
    <x v="3"/>
    <x v="3"/>
    <n v="2300"/>
  </r>
  <r>
    <x v="4"/>
    <x v="0"/>
    <x v="4"/>
    <x v="4"/>
    <n v="2600"/>
  </r>
  <r>
    <x v="5"/>
    <x v="1"/>
    <x v="0"/>
    <x v="0"/>
    <n v="12000"/>
  </r>
  <r>
    <x v="6"/>
    <x v="1"/>
    <x v="1"/>
    <x v="1"/>
    <n v="5100"/>
  </r>
  <r>
    <x v="7"/>
    <x v="1"/>
    <x v="2"/>
    <x v="2"/>
    <n v="3200"/>
  </r>
  <r>
    <x v="8"/>
    <x v="1"/>
    <x v="3"/>
    <x v="3"/>
    <n v="1900"/>
  </r>
  <r>
    <x v="9"/>
    <x v="1"/>
    <x v="4"/>
    <x v="5"/>
    <n v="2400"/>
  </r>
  <r>
    <x v="10"/>
    <x v="2"/>
    <x v="0"/>
    <x v="0"/>
    <n v="12000"/>
  </r>
  <r>
    <x v="11"/>
    <x v="2"/>
    <x v="1"/>
    <x v="1"/>
    <n v="3900"/>
  </r>
  <r>
    <x v="12"/>
    <x v="2"/>
    <x v="2"/>
    <x v="6"/>
    <n v="2600"/>
  </r>
  <r>
    <x v="13"/>
    <x v="2"/>
    <x v="3"/>
    <x v="7"/>
    <n v="1500"/>
  </r>
  <r>
    <x v="14"/>
    <x v="2"/>
    <x v="4"/>
    <x v="4"/>
    <n v="2300"/>
  </r>
  <r>
    <x v="15"/>
    <x v="3"/>
    <x v="0"/>
    <x v="0"/>
    <n v="12000"/>
  </r>
  <r>
    <x v="16"/>
    <x v="3"/>
    <x v="1"/>
    <x v="1"/>
    <n v="4500"/>
  </r>
  <r>
    <x v="17"/>
    <x v="3"/>
    <x v="2"/>
    <x v="8"/>
    <n v="3000"/>
  </r>
  <r>
    <x v="18"/>
    <x v="3"/>
    <x v="3"/>
    <x v="3"/>
    <n v="2200"/>
  </r>
  <r>
    <x v="19"/>
    <x v="3"/>
    <x v="4"/>
    <x v="4"/>
    <n v="2500"/>
  </r>
  <r>
    <x v="20"/>
    <x v="4"/>
    <x v="0"/>
    <x v="0"/>
    <n v="12000"/>
  </r>
  <r>
    <x v="21"/>
    <x v="4"/>
    <x v="1"/>
    <x v="1"/>
    <n v="4800"/>
  </r>
  <r>
    <x v="22"/>
    <x v="4"/>
    <x v="2"/>
    <x v="8"/>
    <n v="2900"/>
  </r>
  <r>
    <x v="23"/>
    <x v="4"/>
    <x v="3"/>
    <x v="9"/>
    <n v="2100"/>
  </r>
  <r>
    <x v="24"/>
    <x v="4"/>
    <x v="4"/>
    <x v="4"/>
    <n v="2600"/>
  </r>
  <r>
    <x v="25"/>
    <x v="5"/>
    <x v="0"/>
    <x v="0"/>
    <n v="12000"/>
  </r>
  <r>
    <x v="26"/>
    <x v="5"/>
    <x v="1"/>
    <x v="1"/>
    <n v="5200"/>
  </r>
  <r>
    <x v="27"/>
    <x v="5"/>
    <x v="2"/>
    <x v="8"/>
    <n v="3300"/>
  </r>
  <r>
    <x v="28"/>
    <x v="5"/>
    <x v="3"/>
    <x v="10"/>
    <n v="2800"/>
  </r>
  <r>
    <x v="29"/>
    <x v="5"/>
    <x v="4"/>
    <x v="4"/>
    <n v="2700"/>
  </r>
  <r>
    <x v="30"/>
    <x v="6"/>
    <x v="0"/>
    <x v="0"/>
    <n v="12000"/>
  </r>
  <r>
    <x v="31"/>
    <x v="6"/>
    <x v="1"/>
    <x v="1"/>
    <n v="4100"/>
  </r>
  <r>
    <x v="32"/>
    <x v="6"/>
    <x v="2"/>
    <x v="6"/>
    <n v="2600"/>
  </r>
  <r>
    <x v="33"/>
    <x v="6"/>
    <x v="3"/>
    <x v="3"/>
    <n v="1800"/>
  </r>
  <r>
    <x v="34"/>
    <x v="6"/>
    <x v="4"/>
    <x v="4"/>
    <n v="2400"/>
  </r>
  <r>
    <x v="35"/>
    <x v="7"/>
    <x v="0"/>
    <x v="0"/>
    <n v="12000"/>
  </r>
  <r>
    <x v="36"/>
    <x v="7"/>
    <x v="1"/>
    <x v="1"/>
    <n v="4700"/>
  </r>
  <r>
    <x v="37"/>
    <x v="7"/>
    <x v="2"/>
    <x v="8"/>
    <n v="3100"/>
  </r>
  <r>
    <x v="38"/>
    <x v="7"/>
    <x v="3"/>
    <x v="9"/>
    <n v="2200"/>
  </r>
  <r>
    <x v="39"/>
    <x v="7"/>
    <x v="4"/>
    <x v="4"/>
    <n v="2500"/>
  </r>
  <r>
    <x v="40"/>
    <x v="8"/>
    <x v="0"/>
    <x v="0"/>
    <n v="12000"/>
  </r>
  <r>
    <x v="41"/>
    <x v="8"/>
    <x v="1"/>
    <x v="1"/>
    <n v="4300"/>
  </r>
  <r>
    <x v="42"/>
    <x v="8"/>
    <x v="2"/>
    <x v="6"/>
    <n v="2700"/>
  </r>
  <r>
    <x v="43"/>
    <x v="8"/>
    <x v="3"/>
    <x v="7"/>
    <n v="2000"/>
  </r>
  <r>
    <x v="44"/>
    <x v="8"/>
    <x v="4"/>
    <x v="4"/>
    <n v="2400"/>
  </r>
  <r>
    <x v="45"/>
    <x v="9"/>
    <x v="0"/>
    <x v="0"/>
    <n v="12000"/>
  </r>
  <r>
    <x v="46"/>
    <x v="9"/>
    <x v="1"/>
    <x v="1"/>
    <n v="5000"/>
  </r>
  <r>
    <x v="47"/>
    <x v="9"/>
    <x v="2"/>
    <x v="8"/>
    <n v="3200"/>
  </r>
  <r>
    <x v="48"/>
    <x v="9"/>
    <x v="3"/>
    <x v="11"/>
    <n v="3500"/>
  </r>
  <r>
    <x v="49"/>
    <x v="9"/>
    <x v="4"/>
    <x v="4"/>
    <n v="2800"/>
  </r>
  <r>
    <x v="50"/>
    <x v="10"/>
    <x v="0"/>
    <x v="0"/>
    <n v="12000"/>
  </r>
  <r>
    <x v="51"/>
    <x v="10"/>
    <x v="1"/>
    <x v="1"/>
    <n v="4600"/>
  </r>
  <r>
    <x v="52"/>
    <x v="10"/>
    <x v="2"/>
    <x v="8"/>
    <n v="3000"/>
  </r>
  <r>
    <x v="53"/>
    <x v="10"/>
    <x v="3"/>
    <x v="3"/>
    <n v="2100"/>
  </r>
  <r>
    <x v="54"/>
    <x v="10"/>
    <x v="4"/>
    <x v="4"/>
    <n v="2600"/>
  </r>
  <r>
    <x v="55"/>
    <x v="11"/>
    <x v="0"/>
    <x v="0"/>
    <n v="12000"/>
  </r>
  <r>
    <x v="56"/>
    <x v="11"/>
    <x v="1"/>
    <x v="1"/>
    <n v="5400"/>
  </r>
  <r>
    <x v="57"/>
    <x v="11"/>
    <x v="2"/>
    <x v="12"/>
    <n v="3600"/>
  </r>
  <r>
    <x v="58"/>
    <x v="11"/>
    <x v="3"/>
    <x v="13"/>
    <n v="4000"/>
  </r>
  <r>
    <x v="59"/>
    <x v="11"/>
    <x v="4"/>
    <x v="4"/>
    <n v="3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A519AA-630C-4A9D-AD37-22C40102A50D}"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D1:E14" firstHeaderRow="1" firstDataRow="1" firstDataCol="1"/>
  <pivotFields count="7">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dataField="1" showAll="0">
      <items count="13">
        <item x="0"/>
        <item x="1"/>
        <item x="2"/>
        <item x="3"/>
        <item x="4"/>
        <item x="5"/>
        <item x="6"/>
        <item x="7"/>
        <item x="8"/>
        <item x="9"/>
        <item x="10"/>
        <item x="11"/>
        <item t="default"/>
      </items>
    </pivotField>
    <pivotField showAll="0">
      <items count="6">
        <item x="3"/>
        <item x="1"/>
        <item x="0"/>
        <item x="2"/>
        <item x="4"/>
        <item t="default"/>
      </items>
    </pivotField>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13">
    <i>
      <x v="1"/>
    </i>
    <i>
      <x v="2"/>
    </i>
    <i>
      <x v="3"/>
    </i>
    <i>
      <x v="4"/>
    </i>
    <i>
      <x v="5"/>
    </i>
    <i>
      <x v="6"/>
    </i>
    <i>
      <x v="7"/>
    </i>
    <i>
      <x v="8"/>
    </i>
    <i>
      <x v="9"/>
    </i>
    <i>
      <x v="10"/>
    </i>
    <i>
      <x v="11"/>
    </i>
    <i>
      <x v="12"/>
    </i>
    <i t="grand">
      <x/>
    </i>
  </rowItems>
  <colItems count="1">
    <i/>
  </colItems>
  <dataFields count="1">
    <dataField name="Count of categorie" fld="1" subtotal="count" baseField="6" baseItem="1"/>
  </dataFields>
  <chartFormats count="26">
    <chartFormat chart="16"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6" count="1" selected="0">
            <x v="2"/>
          </reference>
        </references>
      </pivotArea>
    </chartFormat>
    <chartFormat chart="23" format="2">
      <pivotArea type="data" outline="0" fieldPosition="0">
        <references count="2">
          <reference field="4294967294" count="1" selected="0">
            <x v="0"/>
          </reference>
          <reference field="6" count="1" selected="0">
            <x v="1"/>
          </reference>
        </references>
      </pivotArea>
    </chartFormat>
    <chartFormat chart="23" format="3">
      <pivotArea type="data" outline="0" fieldPosition="0">
        <references count="2">
          <reference field="4294967294" count="1" selected="0">
            <x v="0"/>
          </reference>
          <reference field="6" count="1" selected="0">
            <x v="12"/>
          </reference>
        </references>
      </pivotArea>
    </chartFormat>
    <chartFormat chart="23" format="4">
      <pivotArea type="data" outline="0" fieldPosition="0">
        <references count="2">
          <reference field="4294967294" count="1" selected="0">
            <x v="0"/>
          </reference>
          <reference field="6" count="1" selected="0">
            <x v="11"/>
          </reference>
        </references>
      </pivotArea>
    </chartFormat>
    <chartFormat chart="23" format="5">
      <pivotArea type="data" outline="0" fieldPosition="0">
        <references count="2">
          <reference field="4294967294" count="1" selected="0">
            <x v="0"/>
          </reference>
          <reference field="6" count="1" selected="0">
            <x v="10"/>
          </reference>
        </references>
      </pivotArea>
    </chartFormat>
    <chartFormat chart="23" format="6">
      <pivotArea type="data" outline="0" fieldPosition="0">
        <references count="2">
          <reference field="4294967294" count="1" selected="0">
            <x v="0"/>
          </reference>
          <reference field="6" count="1" selected="0">
            <x v="8"/>
          </reference>
        </references>
      </pivotArea>
    </chartFormat>
    <chartFormat chart="23" format="7">
      <pivotArea type="data" outline="0" fieldPosition="0">
        <references count="2">
          <reference field="4294967294" count="1" selected="0">
            <x v="0"/>
          </reference>
          <reference field="6" count="1" selected="0">
            <x v="7"/>
          </reference>
        </references>
      </pivotArea>
    </chartFormat>
    <chartFormat chart="23" format="8">
      <pivotArea type="data" outline="0" fieldPosition="0">
        <references count="2">
          <reference field="4294967294" count="1" selected="0">
            <x v="0"/>
          </reference>
          <reference field="6" count="1" selected="0">
            <x v="3"/>
          </reference>
        </references>
      </pivotArea>
    </chartFormat>
    <chartFormat chart="23" format="9">
      <pivotArea type="data" outline="0" fieldPosition="0">
        <references count="2">
          <reference field="4294967294" count="1" selected="0">
            <x v="0"/>
          </reference>
          <reference field="6" count="1" selected="0">
            <x v="4"/>
          </reference>
        </references>
      </pivotArea>
    </chartFormat>
    <chartFormat chart="23" format="10">
      <pivotArea type="data" outline="0" fieldPosition="0">
        <references count="2">
          <reference field="4294967294" count="1" selected="0">
            <x v="0"/>
          </reference>
          <reference field="6" count="1" selected="0">
            <x v="9"/>
          </reference>
        </references>
      </pivotArea>
    </chartFormat>
    <chartFormat chart="23" format="11">
      <pivotArea type="data" outline="0" fieldPosition="0">
        <references count="2">
          <reference field="4294967294" count="1" selected="0">
            <x v="0"/>
          </reference>
          <reference field="6" count="1" selected="0">
            <x v="5"/>
          </reference>
        </references>
      </pivotArea>
    </chartFormat>
    <chartFormat chart="25" format="25" series="1">
      <pivotArea type="data" outline="0" fieldPosition="0">
        <references count="1">
          <reference field="4294967294" count="1" selected="0">
            <x v="0"/>
          </reference>
        </references>
      </pivotArea>
    </chartFormat>
    <chartFormat chart="25" format="26">
      <pivotArea type="data" outline="0" fieldPosition="0">
        <references count="2">
          <reference field="4294967294" count="1" selected="0">
            <x v="0"/>
          </reference>
          <reference field="6" count="1" selected="0">
            <x v="1"/>
          </reference>
        </references>
      </pivotArea>
    </chartFormat>
    <chartFormat chart="25" format="27">
      <pivotArea type="data" outline="0" fieldPosition="0">
        <references count="2">
          <reference field="4294967294" count="1" selected="0">
            <x v="0"/>
          </reference>
          <reference field="6" count="1" selected="0">
            <x v="2"/>
          </reference>
        </references>
      </pivotArea>
    </chartFormat>
    <chartFormat chart="25" format="28">
      <pivotArea type="data" outline="0" fieldPosition="0">
        <references count="2">
          <reference field="4294967294" count="1" selected="0">
            <x v="0"/>
          </reference>
          <reference field="6" count="1" selected="0">
            <x v="3"/>
          </reference>
        </references>
      </pivotArea>
    </chartFormat>
    <chartFormat chart="25" format="29">
      <pivotArea type="data" outline="0" fieldPosition="0">
        <references count="2">
          <reference field="4294967294" count="1" selected="0">
            <x v="0"/>
          </reference>
          <reference field="6" count="1" selected="0">
            <x v="4"/>
          </reference>
        </references>
      </pivotArea>
    </chartFormat>
    <chartFormat chart="25" format="30">
      <pivotArea type="data" outline="0" fieldPosition="0">
        <references count="2">
          <reference field="4294967294" count="1" selected="0">
            <x v="0"/>
          </reference>
          <reference field="6" count="1" selected="0">
            <x v="5"/>
          </reference>
        </references>
      </pivotArea>
    </chartFormat>
    <chartFormat chart="25" format="31">
      <pivotArea type="data" outline="0" fieldPosition="0">
        <references count="2">
          <reference field="4294967294" count="1" selected="0">
            <x v="0"/>
          </reference>
          <reference field="6" count="1" selected="0">
            <x v="6"/>
          </reference>
        </references>
      </pivotArea>
    </chartFormat>
    <chartFormat chart="25" format="32">
      <pivotArea type="data" outline="0" fieldPosition="0">
        <references count="2">
          <reference field="4294967294" count="1" selected="0">
            <x v="0"/>
          </reference>
          <reference field="6" count="1" selected="0">
            <x v="7"/>
          </reference>
        </references>
      </pivotArea>
    </chartFormat>
    <chartFormat chart="25" format="33">
      <pivotArea type="data" outline="0" fieldPosition="0">
        <references count="2">
          <reference field="4294967294" count="1" selected="0">
            <x v="0"/>
          </reference>
          <reference field="6" count="1" selected="0">
            <x v="8"/>
          </reference>
        </references>
      </pivotArea>
    </chartFormat>
    <chartFormat chart="25" format="34">
      <pivotArea type="data" outline="0" fieldPosition="0">
        <references count="2">
          <reference field="4294967294" count="1" selected="0">
            <x v="0"/>
          </reference>
          <reference field="6" count="1" selected="0">
            <x v="9"/>
          </reference>
        </references>
      </pivotArea>
    </chartFormat>
    <chartFormat chart="25" format="35">
      <pivotArea type="data" outline="0" fieldPosition="0">
        <references count="2">
          <reference field="4294967294" count="1" selected="0">
            <x v="0"/>
          </reference>
          <reference field="6" count="1" selected="0">
            <x v="10"/>
          </reference>
        </references>
      </pivotArea>
    </chartFormat>
    <chartFormat chart="25" format="36">
      <pivotArea type="data" outline="0" fieldPosition="0">
        <references count="2">
          <reference field="4294967294" count="1" selected="0">
            <x v="0"/>
          </reference>
          <reference field="6" count="1" selected="0">
            <x v="11"/>
          </reference>
        </references>
      </pivotArea>
    </chartFormat>
    <chartFormat chart="25" format="37">
      <pivotArea type="data" outline="0" fieldPosition="0">
        <references count="2">
          <reference field="4294967294" count="1" selected="0">
            <x v="0"/>
          </reference>
          <reference field="6"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5A8757-E25A-48E7-ADE1-9F49416FC6E0}"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1:K14" firstHeaderRow="1" firstDataRow="1" firstDataCol="1"/>
  <pivotFields count="7">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13">
        <item x="0"/>
        <item x="1"/>
        <item x="2"/>
        <item x="3"/>
        <item x="4"/>
        <item x="5"/>
        <item x="6"/>
        <item x="7"/>
        <item x="8"/>
        <item x="9"/>
        <item x="10"/>
        <item x="11"/>
        <item t="default"/>
      </items>
    </pivotField>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13">
    <i>
      <x v="1"/>
    </i>
    <i>
      <x v="2"/>
    </i>
    <i>
      <x v="3"/>
    </i>
    <i>
      <x v="4"/>
    </i>
    <i>
      <x v="5"/>
    </i>
    <i>
      <x v="6"/>
    </i>
    <i>
      <x v="7"/>
    </i>
    <i>
      <x v="8"/>
    </i>
    <i>
      <x v="9"/>
    </i>
    <i>
      <x v="10"/>
    </i>
    <i>
      <x v="11"/>
    </i>
    <i>
      <x v="12"/>
    </i>
    <i t="grand">
      <x/>
    </i>
  </rowItems>
  <colItems count="1">
    <i/>
  </colItems>
  <dataFields count="1">
    <dataField name="Sum of Actual amount" fld="4" baseField="0" baseItem="0"/>
  </dataFields>
  <chartFormats count="3">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B22C21-B12C-4BD9-9E30-6BD928AE4B68}"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G1:H14" firstHeaderRow="1" firstDataRow="1" firstDataCol="1"/>
  <pivotFields count="7">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13">
        <item x="0"/>
        <item x="1"/>
        <item x="2"/>
        <item x="3"/>
        <item x="4"/>
        <item x="5"/>
        <item x="6"/>
        <item x="7"/>
        <item x="8"/>
        <item x="9"/>
        <item x="10"/>
        <item x="11"/>
        <item t="default"/>
      </items>
    </pivotField>
    <pivotField showAll="0"/>
    <pivotField dataField="1" showAll="0">
      <items count="15">
        <item x="6"/>
        <item x="2"/>
        <item x="4"/>
        <item x="11"/>
        <item x="8"/>
        <item x="1"/>
        <item x="0"/>
        <item x="3"/>
        <item x="7"/>
        <item x="9"/>
        <item x="12"/>
        <item x="10"/>
        <item x="5"/>
        <item x="13"/>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13">
    <i>
      <x v="1"/>
    </i>
    <i>
      <x v="2"/>
    </i>
    <i>
      <x v="3"/>
    </i>
    <i>
      <x v="4"/>
    </i>
    <i>
      <x v="5"/>
    </i>
    <i>
      <x v="6"/>
    </i>
    <i>
      <x v="7"/>
    </i>
    <i>
      <x v="8"/>
    </i>
    <i>
      <x v="9"/>
    </i>
    <i>
      <x v="10"/>
    </i>
    <i>
      <x v="11"/>
    </i>
    <i>
      <x v="12"/>
    </i>
    <i t="grand">
      <x/>
    </i>
  </rowItems>
  <colItems count="1">
    <i/>
  </colItems>
  <dataFields count="1">
    <dataField name="Count of Discription" fld="3" subtotal="count" baseField="0" baseItem="0"/>
  </dataFields>
  <chartFormats count="2">
    <chartFormat chart="54"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9B0E15-60D8-411D-B1CE-C42FCCC39D56}"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B14" firstHeaderRow="1" firstDataRow="1" firstDataCol="1"/>
  <pivotFields count="7">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dataField="1" showAll="0">
      <items count="13">
        <item x="0"/>
        <item x="1"/>
        <item x="2"/>
        <item x="3"/>
        <item x="4"/>
        <item x="5"/>
        <item x="6"/>
        <item x="7"/>
        <item x="8"/>
        <item x="9"/>
        <item x="10"/>
        <item x="11"/>
        <item t="default"/>
      </items>
    </pivotField>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13">
    <i>
      <x v="1"/>
    </i>
    <i>
      <x v="2"/>
    </i>
    <i>
      <x v="3"/>
    </i>
    <i>
      <x v="4"/>
    </i>
    <i>
      <x v="5"/>
    </i>
    <i>
      <x v="6"/>
    </i>
    <i>
      <x v="7"/>
    </i>
    <i>
      <x v="8"/>
    </i>
    <i>
      <x v="9"/>
    </i>
    <i>
      <x v="10"/>
    </i>
    <i>
      <x v="11"/>
    </i>
    <i>
      <x v="12"/>
    </i>
    <i t="grand">
      <x/>
    </i>
  </rowItems>
  <colItems count="1">
    <i/>
  </colItems>
  <dataFields count="1">
    <dataField name="Count of Month" fld="1" subtotal="count" baseField="6" baseItem="1"/>
  </dataField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DE71DBB-7C75-45F1-A585-3418FBF59791}" sourceName="Month">
  <pivotTables>
    <pivotTable tabId="3" name="PivotTable1"/>
  </pivotTables>
  <data>
    <tabular pivotCacheId="1708299227">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3A604C7-E0D6-4A11-856B-4D91EFFCA28E}" sourceName="Category">
  <pivotTables>
    <pivotTable tabId="3" name="PivotTable6"/>
  </pivotTables>
  <data>
    <tabular pivotCacheId="1708299227">
      <items count="5">
        <i x="3" s="1"/>
        <i x="1"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ription" xr10:uid="{7F3B4CBF-0991-4587-8EA7-AA1921A5C854}" sourceName="Discription">
  <pivotTables>
    <pivotTable tabId="3" name="PivotTable3"/>
  </pivotTables>
  <data>
    <tabular pivotCacheId="1708299227">
      <items count="14">
        <i x="6" s="1"/>
        <i x="2" s="1"/>
        <i x="4" s="1"/>
        <i x="11" s="1"/>
        <i x="8" s="1"/>
        <i x="1" s="1"/>
        <i x="0" s="1"/>
        <i x="3" s="1"/>
        <i x="7" s="1"/>
        <i x="9" s="1"/>
        <i x="12" s="1"/>
        <i x="10" s="1"/>
        <i x="5"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55BA7DD-AA3A-452A-852A-8FE0B6C76CB3}" cache="Slicer_Month" caption="Month" rowHeight="247650"/>
  <slicer name="Category" xr10:uid="{24934AAD-61A0-48AD-934D-FF6A4CE8CD36}" cache="Slicer_Category" caption="Category" rowHeight="247650"/>
  <slicer name="Discription" xr10:uid="{F40CF91A-1923-47EC-AA85-E6D80808ED6E}" cache="Slicer_Discription" caption="Discript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C9E51E1F-48F5-45A5-8E85-AB4DC9EE430E}" cache="Slicer_Month" caption="Month" startItem="4" rowHeight="247650"/>
  <slicer name="Category 1" xr10:uid="{513F46F5-A245-431E-842B-9410E55217D9}" cache="Slicer_Category" caption="Category" rowHeight="247650"/>
  <slicer name="Discription 1" xr10:uid="{33D65C5E-B213-4990-88F7-36056E94A16D}" cache="Slicer_Discription" caption="Discription" rowHeight="247650"/>
</slicers>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C0A23-CE0B-4306-A538-1ECF673912F6}">
  <dimension ref="A1:K14"/>
  <sheetViews>
    <sheetView topLeftCell="B1" zoomScale="88" workbookViewId="0">
      <selection activeCell="G70" sqref="G70"/>
    </sheetView>
  </sheetViews>
  <sheetFormatPr defaultRowHeight="14.4" x14ac:dyDescent="0.3"/>
  <cols>
    <col min="1" max="1" width="12.6640625" bestFit="1" customWidth="1"/>
    <col min="2" max="2" width="13.44140625" bestFit="1" customWidth="1"/>
    <col min="3" max="3" width="6.21875" customWidth="1"/>
    <col min="4" max="4" width="12.6640625" bestFit="1" customWidth="1"/>
    <col min="5" max="5" width="16" bestFit="1" customWidth="1"/>
    <col min="6" max="6" width="4.33203125" bestFit="1" customWidth="1"/>
    <col min="7" max="7" width="12.6640625" bestFit="1" customWidth="1"/>
    <col min="8" max="9" width="17.5546875" bestFit="1" customWidth="1"/>
    <col min="10" max="10" width="12.44140625" bestFit="1" customWidth="1"/>
    <col min="11" max="11" width="19.21875" bestFit="1" customWidth="1"/>
    <col min="12" max="13" width="20.21875" bestFit="1" customWidth="1"/>
    <col min="14" max="14" width="10.5546875" bestFit="1" customWidth="1"/>
  </cols>
  <sheetData>
    <row r="1" spans="1:11" x14ac:dyDescent="0.3">
      <c r="A1" s="12" t="s">
        <v>42</v>
      </c>
      <c r="B1" t="s">
        <v>55</v>
      </c>
      <c r="D1" s="12" t="s">
        <v>42</v>
      </c>
      <c r="E1" t="s">
        <v>58</v>
      </c>
      <c r="G1" s="12" t="s">
        <v>42</v>
      </c>
      <c r="H1" t="s">
        <v>56</v>
      </c>
      <c r="J1" s="12" t="s">
        <v>42</v>
      </c>
      <c r="K1" t="s">
        <v>57</v>
      </c>
    </row>
    <row r="2" spans="1:11" x14ac:dyDescent="0.3">
      <c r="A2" s="13" t="s">
        <v>44</v>
      </c>
      <c r="B2" s="14">
        <v>5</v>
      </c>
      <c r="D2" s="13" t="s">
        <v>44</v>
      </c>
      <c r="E2" s="14">
        <v>5</v>
      </c>
      <c r="G2" s="13" t="s">
        <v>44</v>
      </c>
      <c r="H2" s="14">
        <v>5</v>
      </c>
      <c r="J2" s="13" t="s">
        <v>44</v>
      </c>
      <c r="K2" s="14">
        <v>23900</v>
      </c>
    </row>
    <row r="3" spans="1:11" x14ac:dyDescent="0.3">
      <c r="A3" s="13" t="s">
        <v>45</v>
      </c>
      <c r="B3" s="14">
        <v>5</v>
      </c>
      <c r="D3" s="13" t="s">
        <v>45</v>
      </c>
      <c r="E3" s="14">
        <v>5</v>
      </c>
      <c r="G3" s="13" t="s">
        <v>45</v>
      </c>
      <c r="H3" s="14">
        <v>5</v>
      </c>
      <c r="J3" s="13" t="s">
        <v>45</v>
      </c>
      <c r="K3" s="14">
        <v>24600</v>
      </c>
    </row>
    <row r="4" spans="1:11" x14ac:dyDescent="0.3">
      <c r="A4" s="13" t="s">
        <v>46</v>
      </c>
      <c r="B4" s="14">
        <v>5</v>
      </c>
      <c r="D4" s="13" t="s">
        <v>46</v>
      </c>
      <c r="E4" s="14">
        <v>5</v>
      </c>
      <c r="G4" s="13" t="s">
        <v>46</v>
      </c>
      <c r="H4" s="14">
        <v>5</v>
      </c>
      <c r="J4" s="13" t="s">
        <v>46</v>
      </c>
      <c r="K4" s="14">
        <v>22300</v>
      </c>
    </row>
    <row r="5" spans="1:11" x14ac:dyDescent="0.3">
      <c r="A5" s="13" t="s">
        <v>47</v>
      </c>
      <c r="B5" s="14">
        <v>5</v>
      </c>
      <c r="D5" s="13" t="s">
        <v>47</v>
      </c>
      <c r="E5" s="14">
        <v>5</v>
      </c>
      <c r="G5" s="13" t="s">
        <v>47</v>
      </c>
      <c r="H5" s="14">
        <v>5</v>
      </c>
      <c r="J5" s="13" t="s">
        <v>47</v>
      </c>
      <c r="K5" s="14">
        <v>24200</v>
      </c>
    </row>
    <row r="6" spans="1:11" x14ac:dyDescent="0.3">
      <c r="A6" s="13" t="s">
        <v>28</v>
      </c>
      <c r="B6" s="14">
        <v>5</v>
      </c>
      <c r="D6" s="13" t="s">
        <v>28</v>
      </c>
      <c r="E6" s="14">
        <v>5</v>
      </c>
      <c r="G6" s="13" t="s">
        <v>28</v>
      </c>
      <c r="H6" s="14">
        <v>5</v>
      </c>
      <c r="J6" s="13" t="s">
        <v>28</v>
      </c>
      <c r="K6" s="14">
        <v>24400</v>
      </c>
    </row>
    <row r="7" spans="1:11" x14ac:dyDescent="0.3">
      <c r="A7" s="13" t="s">
        <v>48</v>
      </c>
      <c r="B7" s="14">
        <v>5</v>
      </c>
      <c r="D7" s="13" t="s">
        <v>48</v>
      </c>
      <c r="E7" s="14">
        <v>5</v>
      </c>
      <c r="G7" s="13" t="s">
        <v>48</v>
      </c>
      <c r="H7" s="14">
        <v>5</v>
      </c>
      <c r="J7" s="13" t="s">
        <v>48</v>
      </c>
      <c r="K7" s="14">
        <v>26000</v>
      </c>
    </row>
    <row r="8" spans="1:11" x14ac:dyDescent="0.3">
      <c r="A8" s="13" t="s">
        <v>49</v>
      </c>
      <c r="B8" s="14">
        <v>5</v>
      </c>
      <c r="D8" s="13" t="s">
        <v>49</v>
      </c>
      <c r="E8" s="14">
        <v>5</v>
      </c>
      <c r="G8" s="13" t="s">
        <v>49</v>
      </c>
      <c r="H8" s="14">
        <v>5</v>
      </c>
      <c r="J8" s="13" t="s">
        <v>49</v>
      </c>
      <c r="K8" s="14">
        <v>22900</v>
      </c>
    </row>
    <row r="9" spans="1:11" x14ac:dyDescent="0.3">
      <c r="A9" s="13" t="s">
        <v>50</v>
      </c>
      <c r="B9" s="14">
        <v>5</v>
      </c>
      <c r="D9" s="13" t="s">
        <v>50</v>
      </c>
      <c r="E9" s="14">
        <v>5</v>
      </c>
      <c r="G9" s="13" t="s">
        <v>50</v>
      </c>
      <c r="H9" s="14">
        <v>5</v>
      </c>
      <c r="J9" s="13" t="s">
        <v>50</v>
      </c>
      <c r="K9" s="14">
        <v>24500</v>
      </c>
    </row>
    <row r="10" spans="1:11" x14ac:dyDescent="0.3">
      <c r="A10" s="13" t="s">
        <v>51</v>
      </c>
      <c r="B10" s="14">
        <v>5</v>
      </c>
      <c r="D10" s="13" t="s">
        <v>51</v>
      </c>
      <c r="E10" s="14">
        <v>5</v>
      </c>
      <c r="G10" s="13" t="s">
        <v>51</v>
      </c>
      <c r="H10" s="14">
        <v>5</v>
      </c>
      <c r="J10" s="13" t="s">
        <v>51</v>
      </c>
      <c r="K10" s="14">
        <v>23400</v>
      </c>
    </row>
    <row r="11" spans="1:11" x14ac:dyDescent="0.3">
      <c r="A11" s="13" t="s">
        <v>52</v>
      </c>
      <c r="B11" s="14">
        <v>5</v>
      </c>
      <c r="D11" s="13" t="s">
        <v>52</v>
      </c>
      <c r="E11" s="14">
        <v>5</v>
      </c>
      <c r="G11" s="13" t="s">
        <v>52</v>
      </c>
      <c r="H11" s="14">
        <v>5</v>
      </c>
      <c r="J11" s="13" t="s">
        <v>52</v>
      </c>
      <c r="K11" s="14">
        <v>26500</v>
      </c>
    </row>
    <row r="12" spans="1:11" x14ac:dyDescent="0.3">
      <c r="A12" s="13" t="s">
        <v>53</v>
      </c>
      <c r="B12" s="14">
        <v>5</v>
      </c>
      <c r="D12" s="13" t="s">
        <v>53</v>
      </c>
      <c r="E12" s="14">
        <v>5</v>
      </c>
      <c r="G12" s="13" t="s">
        <v>53</v>
      </c>
      <c r="H12" s="14">
        <v>5</v>
      </c>
      <c r="J12" s="13" t="s">
        <v>53</v>
      </c>
      <c r="K12" s="14">
        <v>24300</v>
      </c>
    </row>
    <row r="13" spans="1:11" x14ac:dyDescent="0.3">
      <c r="A13" s="13" t="s">
        <v>54</v>
      </c>
      <c r="B13" s="14">
        <v>5</v>
      </c>
      <c r="D13" s="13" t="s">
        <v>54</v>
      </c>
      <c r="E13" s="14">
        <v>5</v>
      </c>
      <c r="G13" s="13" t="s">
        <v>54</v>
      </c>
      <c r="H13" s="14">
        <v>5</v>
      </c>
      <c r="J13" s="13" t="s">
        <v>54</v>
      </c>
      <c r="K13" s="14">
        <v>28000</v>
      </c>
    </row>
    <row r="14" spans="1:11" x14ac:dyDescent="0.3">
      <c r="A14" s="13" t="s">
        <v>43</v>
      </c>
      <c r="B14" s="14">
        <v>60</v>
      </c>
      <c r="D14" s="13" t="s">
        <v>43</v>
      </c>
      <c r="E14" s="14">
        <v>60</v>
      </c>
      <c r="G14" s="13" t="s">
        <v>43</v>
      </c>
      <c r="H14" s="14">
        <v>60</v>
      </c>
      <c r="J14" s="13" t="s">
        <v>43</v>
      </c>
      <c r="K14" s="14">
        <v>295000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E49D4-1F70-4AC5-8684-9444663979DC}">
  <dimension ref="A1:H61"/>
  <sheetViews>
    <sheetView workbookViewId="0">
      <selection activeCell="F18" sqref="F18"/>
    </sheetView>
  </sheetViews>
  <sheetFormatPr defaultRowHeight="14.4" x14ac:dyDescent="0.3"/>
  <cols>
    <col min="1" max="1" width="12.44140625" customWidth="1"/>
    <col min="5" max="5" width="14" customWidth="1"/>
    <col min="8" max="8" width="31.21875" customWidth="1"/>
  </cols>
  <sheetData>
    <row r="1" spans="1:8" ht="15.6" x14ac:dyDescent="0.3">
      <c r="A1" s="1" t="s">
        <v>0</v>
      </c>
      <c r="B1" s="2" t="s">
        <v>1</v>
      </c>
      <c r="C1" s="2" t="s">
        <v>2</v>
      </c>
      <c r="D1" s="2" t="s">
        <v>3</v>
      </c>
      <c r="E1" s="2" t="s">
        <v>4</v>
      </c>
    </row>
    <row r="2" spans="1:8" x14ac:dyDescent="0.3">
      <c r="A2" s="9">
        <v>45662</v>
      </c>
      <c r="B2" s="6" t="s">
        <v>5</v>
      </c>
      <c r="C2" s="6" t="s">
        <v>6</v>
      </c>
      <c r="D2" s="6" t="s">
        <v>7</v>
      </c>
      <c r="E2" s="6">
        <v>12000</v>
      </c>
    </row>
    <row r="3" spans="1:8" x14ac:dyDescent="0.3">
      <c r="A3" s="10">
        <v>45665</v>
      </c>
      <c r="B3" s="7" t="s">
        <v>5</v>
      </c>
      <c r="C3" s="7" t="s">
        <v>8</v>
      </c>
      <c r="D3" s="7" t="s">
        <v>9</v>
      </c>
      <c r="E3" s="7">
        <v>4200</v>
      </c>
    </row>
    <row r="4" spans="1:8" x14ac:dyDescent="0.3">
      <c r="A4" s="9">
        <v>45669</v>
      </c>
      <c r="B4" s="6" t="s">
        <v>5</v>
      </c>
      <c r="C4" s="6" t="s">
        <v>10</v>
      </c>
      <c r="D4" s="6" t="s">
        <v>11</v>
      </c>
      <c r="E4" s="6">
        <v>2800</v>
      </c>
    </row>
    <row r="5" spans="1:8" x14ac:dyDescent="0.3">
      <c r="A5" s="10">
        <v>45675</v>
      </c>
      <c r="B5" s="7" t="s">
        <v>5</v>
      </c>
      <c r="C5" s="7" t="s">
        <v>13</v>
      </c>
      <c r="D5" s="7" t="s">
        <v>14</v>
      </c>
      <c r="E5" s="7">
        <v>2300</v>
      </c>
      <c r="H5" s="3" t="s">
        <v>12</v>
      </c>
    </row>
    <row r="6" spans="1:8" x14ac:dyDescent="0.3">
      <c r="A6" s="9">
        <v>45682</v>
      </c>
      <c r="B6" s="6" t="s">
        <v>5</v>
      </c>
      <c r="C6" s="6" t="s">
        <v>15</v>
      </c>
      <c r="D6" s="6" t="s">
        <v>16</v>
      </c>
      <c r="E6" s="6">
        <v>2600</v>
      </c>
      <c r="H6" s="4">
        <f>SUM(E3:E62)</f>
        <v>283000</v>
      </c>
    </row>
    <row r="7" spans="1:8" x14ac:dyDescent="0.3">
      <c r="A7" s="10">
        <v>45693</v>
      </c>
      <c r="B7" s="7" t="s">
        <v>17</v>
      </c>
      <c r="C7" s="7" t="s">
        <v>6</v>
      </c>
      <c r="D7" s="7" t="s">
        <v>7</v>
      </c>
      <c r="E7" s="7">
        <v>12000</v>
      </c>
    </row>
    <row r="8" spans="1:8" x14ac:dyDescent="0.3">
      <c r="A8" s="9">
        <v>45697</v>
      </c>
      <c r="B8" s="6" t="s">
        <v>17</v>
      </c>
      <c r="C8" s="6" t="s">
        <v>8</v>
      </c>
      <c r="D8" s="6" t="s">
        <v>9</v>
      </c>
      <c r="E8" s="6">
        <v>5100</v>
      </c>
    </row>
    <row r="9" spans="1:8" x14ac:dyDescent="0.3">
      <c r="A9" s="10">
        <v>45700</v>
      </c>
      <c r="B9" s="7" t="s">
        <v>17</v>
      </c>
      <c r="C9" s="7" t="s">
        <v>10</v>
      </c>
      <c r="D9" s="7" t="s">
        <v>11</v>
      </c>
      <c r="E9" s="7">
        <v>3200</v>
      </c>
    </row>
    <row r="10" spans="1:8" x14ac:dyDescent="0.3">
      <c r="A10" s="9">
        <v>45706</v>
      </c>
      <c r="B10" s="6" t="s">
        <v>17</v>
      </c>
      <c r="C10" s="6" t="s">
        <v>13</v>
      </c>
      <c r="D10" s="6" t="s">
        <v>14</v>
      </c>
      <c r="E10" s="6">
        <v>1900</v>
      </c>
      <c r="H10" s="2" t="s">
        <v>18</v>
      </c>
    </row>
    <row r="11" spans="1:8" x14ac:dyDescent="0.3">
      <c r="A11" s="10">
        <v>45712</v>
      </c>
      <c r="B11" s="7" t="s">
        <v>17</v>
      </c>
      <c r="C11" s="7" t="s">
        <v>15</v>
      </c>
      <c r="D11" s="7" t="s">
        <v>19</v>
      </c>
      <c r="E11" s="7">
        <v>2400</v>
      </c>
      <c r="H11" s="4">
        <f>SUMIF(C:C,"food",E:E)</f>
        <v>55800</v>
      </c>
    </row>
    <row r="12" spans="1:8" x14ac:dyDescent="0.3">
      <c r="A12" s="9">
        <v>45721</v>
      </c>
      <c r="B12" s="6" t="s">
        <v>20</v>
      </c>
      <c r="C12" s="6" t="s">
        <v>6</v>
      </c>
      <c r="D12" s="6" t="s">
        <v>7</v>
      </c>
      <c r="E12" s="6">
        <v>12000</v>
      </c>
    </row>
    <row r="13" spans="1:8" x14ac:dyDescent="0.3">
      <c r="A13" s="10">
        <v>45724</v>
      </c>
      <c r="B13" s="7" t="s">
        <v>20</v>
      </c>
      <c r="C13" s="7" t="s">
        <v>8</v>
      </c>
      <c r="D13" s="7" t="s">
        <v>9</v>
      </c>
      <c r="E13" s="7">
        <v>3900</v>
      </c>
    </row>
    <row r="14" spans="1:8" x14ac:dyDescent="0.3">
      <c r="A14" s="9">
        <v>45730</v>
      </c>
      <c r="B14" s="6" t="s">
        <v>20</v>
      </c>
      <c r="C14" s="6" t="s">
        <v>10</v>
      </c>
      <c r="D14" s="6" t="s">
        <v>22</v>
      </c>
      <c r="E14" s="6">
        <v>2600</v>
      </c>
      <c r="H14" s="2" t="s">
        <v>21</v>
      </c>
    </row>
    <row r="15" spans="1:8" x14ac:dyDescent="0.3">
      <c r="A15" s="10">
        <v>45736</v>
      </c>
      <c r="B15" s="7" t="s">
        <v>20</v>
      </c>
      <c r="C15" s="7" t="s">
        <v>13</v>
      </c>
      <c r="D15" s="7" t="s">
        <v>23</v>
      </c>
      <c r="E15" s="7">
        <v>1500</v>
      </c>
      <c r="H15" s="4">
        <f>AVERAGE(E3:E62)</f>
        <v>4796.6101694915251</v>
      </c>
    </row>
    <row r="16" spans="1:8" x14ac:dyDescent="0.3">
      <c r="A16" s="9">
        <v>45742</v>
      </c>
      <c r="B16" s="6" t="s">
        <v>20</v>
      </c>
      <c r="C16" s="6" t="s">
        <v>15</v>
      </c>
      <c r="D16" s="6" t="s">
        <v>16</v>
      </c>
      <c r="E16" s="6">
        <v>2300</v>
      </c>
    </row>
    <row r="17" spans="1:8" x14ac:dyDescent="0.3">
      <c r="A17" s="10">
        <v>45752</v>
      </c>
      <c r="B17" s="7" t="s">
        <v>24</v>
      </c>
      <c r="C17" s="7" t="s">
        <v>6</v>
      </c>
      <c r="D17" s="7" t="s">
        <v>7</v>
      </c>
      <c r="E17" s="7">
        <v>12000</v>
      </c>
    </row>
    <row r="18" spans="1:8" x14ac:dyDescent="0.3">
      <c r="A18" s="9">
        <v>45756</v>
      </c>
      <c r="B18" s="6" t="s">
        <v>24</v>
      </c>
      <c r="C18" s="6" t="s">
        <v>8</v>
      </c>
      <c r="D18" s="6" t="s">
        <v>9</v>
      </c>
      <c r="E18" s="6">
        <v>4500</v>
      </c>
      <c r="H18" s="5" t="s">
        <v>25</v>
      </c>
    </row>
    <row r="19" spans="1:8" x14ac:dyDescent="0.3">
      <c r="A19" s="10">
        <v>45760</v>
      </c>
      <c r="B19" s="7" t="s">
        <v>24</v>
      </c>
      <c r="C19" s="7" t="s">
        <v>10</v>
      </c>
      <c r="D19" s="7" t="s">
        <v>26</v>
      </c>
      <c r="E19" s="7">
        <v>3000</v>
      </c>
      <c r="H19" s="4">
        <f>SUMIF(B:B,"January",E:E)</f>
        <v>23900</v>
      </c>
    </row>
    <row r="20" spans="1:8" x14ac:dyDescent="0.3">
      <c r="A20" s="9">
        <v>45766</v>
      </c>
      <c r="B20" s="6" t="s">
        <v>24</v>
      </c>
      <c r="C20" s="6" t="s">
        <v>13</v>
      </c>
      <c r="D20" s="6" t="s">
        <v>14</v>
      </c>
      <c r="E20" s="6">
        <v>2200</v>
      </c>
    </row>
    <row r="21" spans="1:8" x14ac:dyDescent="0.3">
      <c r="A21" s="10">
        <v>45772</v>
      </c>
      <c r="B21" s="7" t="s">
        <v>24</v>
      </c>
      <c r="C21" s="7" t="s">
        <v>15</v>
      </c>
      <c r="D21" s="7" t="s">
        <v>16</v>
      </c>
      <c r="E21" s="7">
        <v>2500</v>
      </c>
    </row>
    <row r="22" spans="1:8" x14ac:dyDescent="0.3">
      <c r="A22" s="9">
        <v>45782</v>
      </c>
      <c r="B22" s="6" t="s">
        <v>28</v>
      </c>
      <c r="C22" s="6" t="s">
        <v>6</v>
      </c>
      <c r="D22" s="6" t="s">
        <v>7</v>
      </c>
      <c r="E22" s="6">
        <v>12000</v>
      </c>
      <c r="H22" s="5" t="s">
        <v>27</v>
      </c>
    </row>
    <row r="23" spans="1:8" x14ac:dyDescent="0.3">
      <c r="A23" s="10">
        <v>45785</v>
      </c>
      <c r="B23" s="7" t="s">
        <v>28</v>
      </c>
      <c r="C23" s="7" t="s">
        <v>8</v>
      </c>
      <c r="D23" s="7" t="s">
        <v>9</v>
      </c>
      <c r="E23" s="7">
        <v>4800</v>
      </c>
      <c r="H23" s="4">
        <f>SUMIFS(E:E,B:B,"January",C:C,"Food")</f>
        <v>4200</v>
      </c>
    </row>
    <row r="24" spans="1:8" x14ac:dyDescent="0.3">
      <c r="A24" s="9">
        <v>45791</v>
      </c>
      <c r="B24" s="6" t="s">
        <v>28</v>
      </c>
      <c r="C24" s="6" t="s">
        <v>10</v>
      </c>
      <c r="D24" s="6" t="s">
        <v>26</v>
      </c>
      <c r="E24" s="6">
        <v>2900</v>
      </c>
    </row>
    <row r="25" spans="1:8" x14ac:dyDescent="0.3">
      <c r="A25" s="10">
        <v>45797</v>
      </c>
      <c r="B25" s="7" t="s">
        <v>28</v>
      </c>
      <c r="C25" s="7" t="s">
        <v>13</v>
      </c>
      <c r="D25" s="7" t="s">
        <v>29</v>
      </c>
      <c r="E25" s="7">
        <v>2100</v>
      </c>
    </row>
    <row r="26" spans="1:8" x14ac:dyDescent="0.3">
      <c r="A26" s="9">
        <v>45803</v>
      </c>
      <c r="B26" s="6" t="s">
        <v>28</v>
      </c>
      <c r="C26" s="6" t="s">
        <v>15</v>
      </c>
      <c r="D26" s="6" t="s">
        <v>16</v>
      </c>
      <c r="E26" s="6">
        <v>2600</v>
      </c>
    </row>
    <row r="27" spans="1:8" x14ac:dyDescent="0.3">
      <c r="A27" s="10">
        <v>45813</v>
      </c>
      <c r="B27" s="7" t="s">
        <v>30</v>
      </c>
      <c r="C27" s="7" t="s">
        <v>6</v>
      </c>
      <c r="D27" s="7" t="s">
        <v>7</v>
      </c>
      <c r="E27" s="7">
        <v>12000</v>
      </c>
    </row>
    <row r="28" spans="1:8" x14ac:dyDescent="0.3">
      <c r="A28" s="9">
        <v>45817</v>
      </c>
      <c r="B28" s="6" t="s">
        <v>30</v>
      </c>
      <c r="C28" s="6" t="s">
        <v>8</v>
      </c>
      <c r="D28" s="6" t="s">
        <v>9</v>
      </c>
      <c r="E28" s="6">
        <v>5200</v>
      </c>
      <c r="H28" s="5" t="s">
        <v>31</v>
      </c>
    </row>
    <row r="29" spans="1:8" x14ac:dyDescent="0.3">
      <c r="A29" s="10">
        <v>45821</v>
      </c>
      <c r="B29" s="7" t="s">
        <v>30</v>
      </c>
      <c r="C29" s="7" t="s">
        <v>10</v>
      </c>
      <c r="D29" s="7" t="s">
        <v>26</v>
      </c>
      <c r="E29" s="7">
        <v>3300</v>
      </c>
      <c r="H29" s="4">
        <f>AVERAGEIF(B:B,"January",E:E)</f>
        <v>4780</v>
      </c>
    </row>
    <row r="30" spans="1:8" x14ac:dyDescent="0.3">
      <c r="A30" s="9">
        <v>45826</v>
      </c>
      <c r="B30" s="6" t="s">
        <v>30</v>
      </c>
      <c r="C30" s="6" t="s">
        <v>13</v>
      </c>
      <c r="D30" s="6" t="s">
        <v>32</v>
      </c>
      <c r="E30" s="6">
        <v>2800</v>
      </c>
    </row>
    <row r="31" spans="1:8" x14ac:dyDescent="0.3">
      <c r="A31" s="10">
        <v>45833</v>
      </c>
      <c r="B31" s="7" t="s">
        <v>30</v>
      </c>
      <c r="C31" s="7" t="s">
        <v>15</v>
      </c>
      <c r="D31" s="7" t="s">
        <v>16</v>
      </c>
      <c r="E31" s="7">
        <v>2700</v>
      </c>
    </row>
    <row r="32" spans="1:8" x14ac:dyDescent="0.3">
      <c r="A32" s="9">
        <v>45843</v>
      </c>
      <c r="B32" s="6" t="s">
        <v>33</v>
      </c>
      <c r="C32" s="6" t="s">
        <v>6</v>
      </c>
      <c r="D32" s="6" t="s">
        <v>7</v>
      </c>
      <c r="E32" s="6">
        <v>12000</v>
      </c>
    </row>
    <row r="33" spans="1:5" x14ac:dyDescent="0.3">
      <c r="A33" s="10">
        <v>45846</v>
      </c>
      <c r="B33" s="7" t="s">
        <v>33</v>
      </c>
      <c r="C33" s="7" t="s">
        <v>8</v>
      </c>
      <c r="D33" s="7" t="s">
        <v>9</v>
      </c>
      <c r="E33" s="7">
        <v>4100</v>
      </c>
    </row>
    <row r="34" spans="1:5" x14ac:dyDescent="0.3">
      <c r="A34" s="9">
        <v>45850</v>
      </c>
      <c r="B34" s="6" t="s">
        <v>33</v>
      </c>
      <c r="C34" s="6" t="s">
        <v>10</v>
      </c>
      <c r="D34" s="6" t="s">
        <v>22</v>
      </c>
      <c r="E34" s="6">
        <v>2600</v>
      </c>
    </row>
    <row r="35" spans="1:5" x14ac:dyDescent="0.3">
      <c r="A35" s="10">
        <v>45857</v>
      </c>
      <c r="B35" s="7" t="s">
        <v>33</v>
      </c>
      <c r="C35" s="7" t="s">
        <v>13</v>
      </c>
      <c r="D35" s="7" t="s">
        <v>14</v>
      </c>
      <c r="E35" s="7">
        <v>1800</v>
      </c>
    </row>
    <row r="36" spans="1:5" x14ac:dyDescent="0.3">
      <c r="A36" s="9">
        <v>45864</v>
      </c>
      <c r="B36" s="6" t="s">
        <v>33</v>
      </c>
      <c r="C36" s="6" t="s">
        <v>15</v>
      </c>
      <c r="D36" s="6" t="s">
        <v>16</v>
      </c>
      <c r="E36" s="6">
        <v>2400</v>
      </c>
    </row>
    <row r="37" spans="1:5" x14ac:dyDescent="0.3">
      <c r="A37" s="10">
        <v>45874</v>
      </c>
      <c r="B37" s="7" t="s">
        <v>34</v>
      </c>
      <c r="C37" s="7" t="s">
        <v>6</v>
      </c>
      <c r="D37" s="7" t="s">
        <v>7</v>
      </c>
      <c r="E37" s="7">
        <v>12000</v>
      </c>
    </row>
    <row r="38" spans="1:5" x14ac:dyDescent="0.3">
      <c r="A38" s="9">
        <v>45878</v>
      </c>
      <c r="B38" s="6" t="s">
        <v>34</v>
      </c>
      <c r="C38" s="6" t="s">
        <v>8</v>
      </c>
      <c r="D38" s="6" t="s">
        <v>9</v>
      </c>
      <c r="E38" s="6">
        <v>4700</v>
      </c>
    </row>
    <row r="39" spans="1:5" x14ac:dyDescent="0.3">
      <c r="A39" s="10">
        <v>45883</v>
      </c>
      <c r="B39" s="7" t="s">
        <v>34</v>
      </c>
      <c r="C39" s="7" t="s">
        <v>10</v>
      </c>
      <c r="D39" s="7" t="s">
        <v>26</v>
      </c>
      <c r="E39" s="7">
        <v>3100</v>
      </c>
    </row>
    <row r="40" spans="1:5" x14ac:dyDescent="0.3">
      <c r="A40" s="9">
        <v>45889</v>
      </c>
      <c r="B40" s="6" t="s">
        <v>34</v>
      </c>
      <c r="C40" s="6" t="s">
        <v>13</v>
      </c>
      <c r="D40" s="6" t="s">
        <v>29</v>
      </c>
      <c r="E40" s="6">
        <v>2200</v>
      </c>
    </row>
    <row r="41" spans="1:5" x14ac:dyDescent="0.3">
      <c r="A41" s="10">
        <v>45895</v>
      </c>
      <c r="B41" s="7" t="s">
        <v>34</v>
      </c>
      <c r="C41" s="7" t="s">
        <v>15</v>
      </c>
      <c r="D41" s="7" t="s">
        <v>16</v>
      </c>
      <c r="E41" s="7">
        <v>2500</v>
      </c>
    </row>
    <row r="42" spans="1:5" x14ac:dyDescent="0.3">
      <c r="A42" s="9">
        <v>45905</v>
      </c>
      <c r="B42" s="6" t="s">
        <v>35</v>
      </c>
      <c r="C42" s="6" t="s">
        <v>6</v>
      </c>
      <c r="D42" s="6" t="s">
        <v>7</v>
      </c>
      <c r="E42" s="6">
        <v>12000</v>
      </c>
    </row>
    <row r="43" spans="1:5" x14ac:dyDescent="0.3">
      <c r="A43" s="10">
        <v>45908</v>
      </c>
      <c r="B43" s="7" t="s">
        <v>35</v>
      </c>
      <c r="C43" s="7" t="s">
        <v>8</v>
      </c>
      <c r="D43" s="7" t="s">
        <v>9</v>
      </c>
      <c r="E43" s="7">
        <v>4300</v>
      </c>
    </row>
    <row r="44" spans="1:5" x14ac:dyDescent="0.3">
      <c r="A44" s="9">
        <v>45913</v>
      </c>
      <c r="B44" s="6" t="s">
        <v>35</v>
      </c>
      <c r="C44" s="6" t="s">
        <v>10</v>
      </c>
      <c r="D44" s="6" t="s">
        <v>22</v>
      </c>
      <c r="E44" s="6">
        <v>2700</v>
      </c>
    </row>
    <row r="45" spans="1:5" x14ac:dyDescent="0.3">
      <c r="A45" s="10">
        <v>45918</v>
      </c>
      <c r="B45" s="7" t="s">
        <v>35</v>
      </c>
      <c r="C45" s="7" t="s">
        <v>13</v>
      </c>
      <c r="D45" s="7" t="s">
        <v>23</v>
      </c>
      <c r="E45" s="7">
        <v>2000</v>
      </c>
    </row>
    <row r="46" spans="1:5" x14ac:dyDescent="0.3">
      <c r="A46" s="9">
        <v>45925</v>
      </c>
      <c r="B46" s="6" t="s">
        <v>35</v>
      </c>
      <c r="C46" s="6" t="s">
        <v>15</v>
      </c>
      <c r="D46" s="6" t="s">
        <v>16</v>
      </c>
      <c r="E46" s="6">
        <v>2400</v>
      </c>
    </row>
    <row r="47" spans="1:5" x14ac:dyDescent="0.3">
      <c r="A47" s="10">
        <v>45935</v>
      </c>
      <c r="B47" s="7" t="s">
        <v>36</v>
      </c>
      <c r="C47" s="7" t="s">
        <v>6</v>
      </c>
      <c r="D47" s="7" t="s">
        <v>7</v>
      </c>
      <c r="E47" s="7">
        <v>12000</v>
      </c>
    </row>
    <row r="48" spans="1:5" x14ac:dyDescent="0.3">
      <c r="A48" s="9">
        <v>45939</v>
      </c>
      <c r="B48" s="6" t="s">
        <v>36</v>
      </c>
      <c r="C48" s="6" t="s">
        <v>8</v>
      </c>
      <c r="D48" s="6" t="s">
        <v>9</v>
      </c>
      <c r="E48" s="6">
        <v>5000</v>
      </c>
    </row>
    <row r="49" spans="1:5" x14ac:dyDescent="0.3">
      <c r="A49" s="10">
        <v>45944</v>
      </c>
      <c r="B49" s="7" t="s">
        <v>36</v>
      </c>
      <c r="C49" s="7" t="s">
        <v>10</v>
      </c>
      <c r="D49" s="7" t="s">
        <v>26</v>
      </c>
      <c r="E49" s="7">
        <v>3200</v>
      </c>
    </row>
    <row r="50" spans="1:5" x14ac:dyDescent="0.3">
      <c r="A50" s="9">
        <v>45950</v>
      </c>
      <c r="B50" s="6" t="s">
        <v>36</v>
      </c>
      <c r="C50" s="6" t="s">
        <v>13</v>
      </c>
      <c r="D50" s="6" t="s">
        <v>37</v>
      </c>
      <c r="E50" s="6">
        <v>3500</v>
      </c>
    </row>
    <row r="51" spans="1:5" x14ac:dyDescent="0.3">
      <c r="A51" s="10">
        <v>45956</v>
      </c>
      <c r="B51" s="7" t="s">
        <v>36</v>
      </c>
      <c r="C51" s="7" t="s">
        <v>15</v>
      </c>
      <c r="D51" s="7" t="s">
        <v>16</v>
      </c>
      <c r="E51" s="7">
        <v>2800</v>
      </c>
    </row>
    <row r="52" spans="1:5" x14ac:dyDescent="0.3">
      <c r="A52" s="9">
        <v>45966</v>
      </c>
      <c r="B52" s="6" t="s">
        <v>38</v>
      </c>
      <c r="C52" s="6" t="s">
        <v>6</v>
      </c>
      <c r="D52" s="6" t="s">
        <v>7</v>
      </c>
      <c r="E52" s="6">
        <v>12000</v>
      </c>
    </row>
    <row r="53" spans="1:5" x14ac:dyDescent="0.3">
      <c r="A53" s="10">
        <v>45969</v>
      </c>
      <c r="B53" s="7" t="s">
        <v>38</v>
      </c>
      <c r="C53" s="7" t="s">
        <v>8</v>
      </c>
      <c r="D53" s="7" t="s">
        <v>9</v>
      </c>
      <c r="E53" s="7">
        <v>4600</v>
      </c>
    </row>
    <row r="54" spans="1:5" x14ac:dyDescent="0.3">
      <c r="A54" s="9">
        <v>45974</v>
      </c>
      <c r="B54" s="6" t="s">
        <v>38</v>
      </c>
      <c r="C54" s="6" t="s">
        <v>10</v>
      </c>
      <c r="D54" s="6" t="s">
        <v>26</v>
      </c>
      <c r="E54" s="6">
        <v>3000</v>
      </c>
    </row>
    <row r="55" spans="1:5" x14ac:dyDescent="0.3">
      <c r="A55" s="10">
        <v>45980</v>
      </c>
      <c r="B55" s="7" t="s">
        <v>38</v>
      </c>
      <c r="C55" s="7" t="s">
        <v>13</v>
      </c>
      <c r="D55" s="7" t="s">
        <v>14</v>
      </c>
      <c r="E55" s="7">
        <v>2100</v>
      </c>
    </row>
    <row r="56" spans="1:5" x14ac:dyDescent="0.3">
      <c r="A56" s="9">
        <v>45986</v>
      </c>
      <c r="B56" s="6" t="s">
        <v>38</v>
      </c>
      <c r="C56" s="6" t="s">
        <v>15</v>
      </c>
      <c r="D56" s="6" t="s">
        <v>16</v>
      </c>
      <c r="E56" s="6">
        <v>2600</v>
      </c>
    </row>
    <row r="57" spans="1:5" x14ac:dyDescent="0.3">
      <c r="A57" s="10">
        <v>45996</v>
      </c>
      <c r="B57" s="7" t="s">
        <v>39</v>
      </c>
      <c r="C57" s="7" t="s">
        <v>6</v>
      </c>
      <c r="D57" s="7" t="s">
        <v>7</v>
      </c>
      <c r="E57" s="7">
        <v>12000</v>
      </c>
    </row>
    <row r="58" spans="1:5" x14ac:dyDescent="0.3">
      <c r="A58" s="9">
        <v>46000</v>
      </c>
      <c r="B58" s="6" t="s">
        <v>39</v>
      </c>
      <c r="C58" s="6" t="s">
        <v>8</v>
      </c>
      <c r="D58" s="6" t="s">
        <v>9</v>
      </c>
      <c r="E58" s="6">
        <v>5400</v>
      </c>
    </row>
    <row r="59" spans="1:5" x14ac:dyDescent="0.3">
      <c r="A59" s="10">
        <v>46005</v>
      </c>
      <c r="B59" s="7" t="s">
        <v>39</v>
      </c>
      <c r="C59" s="7" t="s">
        <v>10</v>
      </c>
      <c r="D59" s="7" t="s">
        <v>40</v>
      </c>
      <c r="E59" s="7">
        <v>3600</v>
      </c>
    </row>
    <row r="60" spans="1:5" x14ac:dyDescent="0.3">
      <c r="A60" s="9">
        <v>46011</v>
      </c>
      <c r="B60" s="6" t="s">
        <v>39</v>
      </c>
      <c r="C60" s="6" t="s">
        <v>13</v>
      </c>
      <c r="D60" s="6" t="s">
        <v>41</v>
      </c>
      <c r="E60" s="6">
        <v>4000</v>
      </c>
    </row>
    <row r="61" spans="1:5" x14ac:dyDescent="0.3">
      <c r="A61" s="11">
        <v>46017</v>
      </c>
      <c r="B61" s="8" t="s">
        <v>39</v>
      </c>
      <c r="C61" s="8" t="s">
        <v>15</v>
      </c>
      <c r="D61" s="8" t="s">
        <v>16</v>
      </c>
      <c r="E61" s="8">
        <v>3000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1605C-8A1F-471A-A4B6-98E0C1342BD8}">
  <dimension ref="A1"/>
  <sheetViews>
    <sheetView tabSelected="1" zoomScale="91" workbookViewId="0">
      <selection activeCell="W14" sqref="W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RAGHU KOMARABATTINA</dc:creator>
  <cp:lastModifiedBy>Tadiparthi sujanya suji</cp:lastModifiedBy>
  <dcterms:created xsi:type="dcterms:W3CDTF">2026-01-20T04:18:20Z</dcterms:created>
  <dcterms:modified xsi:type="dcterms:W3CDTF">2026-01-20T15:18:21Z</dcterms:modified>
</cp:coreProperties>
</file>